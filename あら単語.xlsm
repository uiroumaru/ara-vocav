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oshishaacjp-my.sharepoint.com/personal/cgkg3019_mail2_doshisha_ac_jp/Documents/就活など/"/>
    </mc:Choice>
  </mc:AlternateContent>
  <xr:revisionPtr revIDLastSave="10885" documentId="13_ncr:1_{F7B9AF3D-CEF4-4B88-B20C-07FEEFFB1402}" xr6:coauthVersionLast="47" xr6:coauthVersionMax="47" xr10:uidLastSave="{A4E3C78C-33A9-4D33-91C8-F285AA117974}"/>
  <bookViews>
    <workbookView xWindow="3920" yWindow="500" windowWidth="29040" windowHeight="16000" xr2:uid="{650873E0-5A78-3341-8D86-6B0F94A1E174}"/>
  </bookViews>
  <sheets>
    <sheet name="コンソール" sheetId="3" r:id="rId1"/>
    <sheet name="出力用シート" sheetId="4" r:id="rId2"/>
    <sheet name="間違え" sheetId="6" r:id="rId3"/>
    <sheet name="Sheet2" sheetId="7" r:id="rId4"/>
  </sheets>
  <definedNames>
    <definedName name="_xlpm.value" hidden="1" xlm="1">#NAME?</definedName>
    <definedName name="_xlnm.Print_Area" localSheetId="1">出力用シート!$A$1:$G$27</definedName>
    <definedName name="カウント">COUNTIF(#REF!,2)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01" i="3" l="1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G6" i="3"/>
  <c r="S27" i="3" l="1"/>
  <c r="R27" i="3"/>
  <c r="C27" i="4"/>
  <c r="B27" i="4"/>
  <c r="B1" i="3"/>
  <c r="B1594" i="3"/>
  <c r="B1693" i="3"/>
  <c r="B2005" i="3"/>
  <c r="B801" i="3"/>
  <c r="B231" i="3"/>
  <c r="B99" i="3"/>
  <c r="B1461" i="3"/>
  <c r="B1796" i="3"/>
  <c r="B1627" i="3"/>
  <c r="B575" i="3"/>
  <c r="B1546" i="3"/>
  <c r="B162" i="3"/>
  <c r="B1660" i="3"/>
  <c r="B842" i="3"/>
  <c r="B1638" i="3"/>
  <c r="B940" i="3"/>
  <c r="B656" i="3"/>
  <c r="B1162" i="3"/>
  <c r="B1894" i="3"/>
  <c r="B552" i="3"/>
  <c r="B12" i="3"/>
  <c r="B1930" i="3"/>
  <c r="B1474" i="3"/>
  <c r="B1380" i="3"/>
  <c r="B1915" i="3"/>
  <c r="B715" i="3"/>
  <c r="B1596" i="3"/>
  <c r="B1003" i="3"/>
  <c r="B101" i="3"/>
  <c r="B1859" i="3"/>
  <c r="B309" i="3"/>
  <c r="B1399" i="3"/>
  <c r="B1999" i="3"/>
  <c r="B1404" i="3"/>
  <c r="B1599" i="3"/>
  <c r="B45" i="3"/>
  <c r="B1216" i="3"/>
  <c r="B524" i="3"/>
  <c r="B1711" i="3"/>
  <c r="B1356" i="3"/>
  <c r="B198" i="3"/>
  <c r="B1456" i="3"/>
  <c r="B1912" i="3"/>
  <c r="B1526" i="3"/>
  <c r="B1690" i="3"/>
  <c r="B1991" i="3"/>
  <c r="B720" i="3"/>
  <c r="B495" i="3"/>
  <c r="B1218" i="3"/>
  <c r="B323" i="3"/>
  <c r="B1408" i="3"/>
  <c r="B285" i="3"/>
  <c r="B47" i="3"/>
  <c r="B1272" i="3"/>
  <c r="B1302" i="3"/>
  <c r="B675" i="3"/>
  <c r="B1654" i="3"/>
  <c r="B760" i="3"/>
  <c r="B1100" i="3"/>
  <c r="B691" i="3"/>
  <c r="B1034" i="3"/>
  <c r="B960" i="3"/>
  <c r="B1224" i="3"/>
  <c r="B794" i="3"/>
  <c r="B1656" i="3"/>
  <c r="B239" i="3"/>
  <c r="B916" i="3"/>
  <c r="B583" i="3"/>
  <c r="B1547" i="3"/>
  <c r="B993" i="3"/>
  <c r="B1582" i="3"/>
  <c r="B969" i="3"/>
  <c r="B370" i="3"/>
  <c r="B453" i="3"/>
  <c r="B939" i="3"/>
  <c r="B175" i="3"/>
  <c r="B142" i="3"/>
  <c r="B208" i="3"/>
  <c r="B1775" i="3"/>
  <c r="B1909" i="3"/>
  <c r="B308" i="3"/>
  <c r="B1902" i="3"/>
  <c r="B325" i="3"/>
  <c r="B1826" i="3"/>
  <c r="B1304" i="3"/>
  <c r="B995" i="3"/>
  <c r="B22" i="3"/>
  <c r="B1460" i="3"/>
  <c r="B1429" i="3"/>
  <c r="B1378" i="3"/>
  <c r="B1831" i="3"/>
  <c r="B1220" i="3"/>
  <c r="B1488" i="3"/>
  <c r="B883" i="3"/>
  <c r="B887" i="3"/>
  <c r="B1358" i="3"/>
  <c r="B1387" i="3"/>
  <c r="B1322" i="3"/>
  <c r="B1694" i="3"/>
  <c r="B1943" i="3"/>
  <c r="B1423" i="3"/>
  <c r="B504" i="3"/>
  <c r="B1725" i="3"/>
  <c r="B1854" i="3"/>
  <c r="B829" i="3"/>
  <c r="B1645" i="3"/>
  <c r="B82" i="3"/>
  <c r="B680" i="3"/>
  <c r="B1245" i="3"/>
  <c r="B1606" i="3"/>
  <c r="B726" i="3"/>
  <c r="B859" i="3"/>
  <c r="B246" i="3"/>
  <c r="B365" i="3"/>
  <c r="B315" i="3"/>
  <c r="B259" i="3"/>
  <c r="B122" i="3"/>
  <c r="B1127" i="3"/>
  <c r="B125" i="3"/>
  <c r="B943" i="3"/>
  <c r="B27" i="3"/>
  <c r="B1799" i="3"/>
  <c r="B1281" i="3"/>
  <c r="B1148" i="3"/>
  <c r="B1464" i="3"/>
  <c r="B214" i="3"/>
  <c r="B1827" i="3"/>
  <c r="B369" i="3"/>
  <c r="B91" i="3"/>
  <c r="B400" i="3"/>
  <c r="B1845" i="3"/>
  <c r="B1182" i="3"/>
  <c r="B854" i="3"/>
  <c r="B1764" i="3"/>
  <c r="B98" i="3"/>
  <c r="B1228" i="3"/>
  <c r="B2013" i="3"/>
  <c r="B2000" i="3"/>
  <c r="B876" i="3"/>
  <c r="B847" i="3"/>
  <c r="B1031" i="3"/>
  <c r="B1597" i="3"/>
  <c r="B907" i="3"/>
  <c r="B671" i="3"/>
  <c r="B1578" i="3"/>
  <c r="B860" i="3"/>
  <c r="B1852" i="3"/>
  <c r="B1014" i="3"/>
  <c r="B1948" i="3"/>
  <c r="B1653" i="3"/>
  <c r="B1402" i="3"/>
  <c r="B1615" i="3"/>
  <c r="B1629" i="3"/>
  <c r="B1230" i="3"/>
  <c r="B1905" i="3"/>
  <c r="B1021" i="3"/>
  <c r="B1061" i="3"/>
  <c r="B6" i="3"/>
  <c r="B736" i="3"/>
  <c r="B1658" i="3"/>
  <c r="B741" i="3"/>
  <c r="B1049" i="3"/>
  <c r="B1217" i="3"/>
  <c r="B1341" i="3"/>
  <c r="B1971" i="3"/>
  <c r="B1747" i="3"/>
  <c r="B972" i="3"/>
  <c r="B1798" i="3"/>
  <c r="B978" i="3"/>
  <c r="B1848" i="3"/>
  <c r="B1017" i="3"/>
  <c r="B274" i="3"/>
  <c r="B1183" i="3"/>
  <c r="B438" i="3"/>
  <c r="B1570" i="3"/>
  <c r="B1987" i="3"/>
  <c r="B1115" i="3"/>
  <c r="B670" i="3"/>
  <c r="B1924" i="3"/>
  <c r="B1806" i="3"/>
  <c r="B499" i="3"/>
  <c r="B743" i="3"/>
  <c r="B1104" i="3"/>
  <c r="B911" i="3"/>
  <c r="B1300" i="3"/>
  <c r="B1067" i="3"/>
  <c r="B1305" i="3"/>
  <c r="B362" i="3"/>
  <c r="B1244" i="3"/>
  <c r="B999" i="3"/>
  <c r="B677" i="3"/>
  <c r="B1923" i="3"/>
  <c r="B1036" i="3"/>
  <c r="B2021" i="3"/>
  <c r="B387" i="3"/>
  <c r="B1543" i="3"/>
  <c r="B1136" i="3"/>
  <c r="B229" i="3"/>
  <c r="B529" i="3"/>
  <c r="B1035" i="3"/>
  <c r="B154" i="3"/>
  <c r="B1039" i="3"/>
  <c r="B168" i="3"/>
  <c r="B1128" i="3"/>
  <c r="B1431" i="3"/>
  <c r="B884" i="3"/>
  <c r="B307" i="3"/>
  <c r="B1992" i="3"/>
  <c r="B7" i="3"/>
  <c r="B1958" i="3"/>
  <c r="B1990" i="3"/>
  <c r="B1938" i="3"/>
  <c r="B541" i="3"/>
  <c r="B997" i="3"/>
  <c r="B988" i="3"/>
  <c r="B1250" i="3"/>
  <c r="B194" i="3"/>
  <c r="B746" i="3"/>
  <c r="B812" i="3"/>
  <c r="B215" i="3"/>
  <c r="B56" i="3"/>
  <c r="B1995" i="3"/>
  <c r="B1885" i="3"/>
  <c r="B1020" i="3"/>
  <c r="B1171" i="3"/>
  <c r="B936" i="3"/>
  <c r="B1507" i="3"/>
  <c r="B1438" i="3"/>
  <c r="B621" i="3"/>
  <c r="B374" i="3"/>
  <c r="B448" i="3"/>
  <c r="B1048" i="3"/>
  <c r="B1257" i="3"/>
  <c r="B771" i="3"/>
  <c r="B1006" i="3"/>
  <c r="B1549" i="3"/>
  <c r="B1966" i="3"/>
  <c r="B933" i="3"/>
  <c r="B1916" i="3"/>
  <c r="B1820" i="3"/>
  <c r="B60" i="3"/>
  <c r="B1212" i="3"/>
  <c r="B1467" i="3"/>
  <c r="B668" i="3"/>
  <c r="B1783" i="3"/>
  <c r="B1203" i="3"/>
  <c r="B1696" i="3"/>
  <c r="B93" i="3"/>
  <c r="B1192" i="3"/>
  <c r="B1860" i="3"/>
  <c r="B502" i="3"/>
  <c r="B1170" i="3"/>
  <c r="B1407" i="3"/>
  <c r="B1763" i="3"/>
  <c r="B487" i="3"/>
  <c r="B1141" i="3"/>
  <c r="B1158" i="3"/>
  <c r="B1269" i="3"/>
  <c r="B131" i="3"/>
  <c r="B1722" i="3"/>
  <c r="B163" i="3"/>
  <c r="B1639" i="3"/>
  <c r="B1879" i="3"/>
  <c r="B1149" i="3"/>
  <c r="B260" i="3"/>
  <c r="B950" i="3"/>
  <c r="B507" i="3"/>
  <c r="B1514" i="3"/>
  <c r="B1126" i="3"/>
  <c r="B1050" i="3"/>
  <c r="B1393" i="3"/>
  <c r="B1550" i="3"/>
  <c r="B1748" i="3"/>
  <c r="B699" i="3"/>
  <c r="B1554" i="3"/>
  <c r="B296" i="3"/>
  <c r="B1342" i="3"/>
  <c r="B364" i="3"/>
  <c r="B357" i="3"/>
  <c r="B1047" i="3"/>
  <c r="B1875" i="3"/>
  <c r="B26" i="3"/>
  <c r="B1231" i="3"/>
  <c r="B622" i="3"/>
  <c r="B1419" i="3"/>
  <c r="B1540" i="3"/>
  <c r="B751" i="3"/>
  <c r="B195" i="3"/>
  <c r="B434" i="3"/>
  <c r="B1434" i="3"/>
  <c r="B1686" i="3"/>
  <c r="B1157" i="3"/>
  <c r="B924" i="3"/>
  <c r="B823" i="3"/>
  <c r="B797" i="3"/>
  <c r="B1400" i="3"/>
  <c r="B1068" i="3"/>
  <c r="B479" i="3"/>
  <c r="B378" i="3"/>
  <c r="B826" i="3"/>
  <c r="B2027" i="3"/>
  <c r="B1052" i="3"/>
  <c r="B429" i="3"/>
  <c r="B1073" i="3"/>
  <c r="B1394" i="3"/>
  <c r="B1008" i="3"/>
  <c r="B1558" i="3"/>
  <c r="B1709" i="3"/>
  <c r="B150" i="3"/>
  <c r="B922" i="3"/>
  <c r="B445" i="3"/>
  <c r="B1571" i="3"/>
  <c r="B250" i="3"/>
  <c r="B1283" i="3"/>
  <c r="B275" i="3"/>
  <c r="B1951" i="3"/>
  <c r="B1426" i="3"/>
  <c r="B1539" i="3"/>
  <c r="B1738" i="3"/>
  <c r="B846" i="3"/>
  <c r="B1256" i="3"/>
  <c r="B492" i="3"/>
  <c r="B121" i="3"/>
  <c r="B1935" i="3"/>
  <c r="B1928" i="3"/>
  <c r="B1413" i="3"/>
  <c r="B712" i="3"/>
  <c r="B1707" i="3"/>
  <c r="B1926" i="3"/>
  <c r="B831" i="3"/>
  <c r="B1022" i="3"/>
  <c r="B1239" i="3"/>
  <c r="B1874" i="3"/>
  <c r="B1736" i="3"/>
  <c r="B503" i="3"/>
  <c r="B1484" i="3"/>
  <c r="B13" i="3"/>
  <c r="B493" i="3"/>
  <c r="B258" i="3"/>
  <c r="B2008" i="3"/>
  <c r="B276" i="3"/>
  <c r="B1700" i="3"/>
  <c r="B1443" i="3"/>
  <c r="B107" i="3"/>
  <c r="B1635" i="3"/>
  <c r="B486" i="3"/>
  <c r="B386" i="3"/>
  <c r="B833" i="3"/>
  <c r="B913" i="3"/>
  <c r="B1904" i="3"/>
  <c r="B1177" i="3"/>
  <c r="B970" i="3"/>
  <c r="B1101" i="3"/>
  <c r="B540" i="3"/>
  <c r="B1334" i="3"/>
  <c r="B1311" i="3"/>
  <c r="B1208" i="3"/>
  <c r="B517" i="3"/>
  <c r="B1947" i="3"/>
  <c r="B1531" i="3"/>
  <c r="B280" i="3"/>
  <c r="B1533" i="3"/>
  <c r="B1420" i="3"/>
  <c r="B430" i="3"/>
  <c r="B1683" i="3"/>
  <c r="B1680" i="3"/>
  <c r="B269" i="3"/>
  <c r="B189" i="3"/>
  <c r="B1785" i="3"/>
  <c r="B951" i="3"/>
  <c r="B1476" i="3"/>
  <c r="B1740" i="3"/>
  <c r="B310" i="3"/>
  <c r="B432" i="3"/>
  <c r="B322" i="3"/>
  <c r="B1541" i="3"/>
  <c r="B1135" i="3"/>
  <c r="B2018" i="3"/>
  <c r="B1124" i="3"/>
  <c r="B920" i="3"/>
  <c r="B205" i="3"/>
  <c r="B1308" i="3"/>
  <c r="B1463" i="3"/>
  <c r="B1587" i="3"/>
  <c r="B1347" i="3"/>
  <c r="B1312" i="3"/>
  <c r="B1917" i="3"/>
  <c r="B910" i="3"/>
  <c r="B1459" i="3"/>
  <c r="B108" i="3"/>
  <c r="B1699" i="3"/>
  <c r="B1019" i="3"/>
  <c r="B404" i="3"/>
  <c r="B376" i="3"/>
  <c r="B1198" i="3"/>
  <c r="B2022" i="3"/>
  <c r="B1085" i="3"/>
  <c r="B904" i="3"/>
  <c r="B516" i="3"/>
  <c r="B1623" i="3"/>
  <c r="B390" i="3"/>
  <c r="B930" i="3"/>
  <c r="B645" i="3"/>
  <c r="B610" i="3"/>
  <c r="B86" i="3"/>
  <c r="B1062" i="3"/>
  <c r="B820" i="3"/>
  <c r="B1908" i="3"/>
  <c r="B1779" i="3"/>
  <c r="B556" i="3"/>
  <c r="B897" i="3"/>
  <c r="B1522" i="3"/>
  <c r="B95" i="3"/>
  <c r="B148" i="3"/>
  <c r="B220" i="3"/>
  <c r="B1335" i="3"/>
  <c r="B1970" i="3"/>
  <c r="B1813" i="3"/>
  <c r="B2004" i="3"/>
  <c r="B399" i="3"/>
  <c r="B1589" i="3"/>
  <c r="B1625" i="3"/>
  <c r="B648" i="3"/>
  <c r="B1765" i="3"/>
  <c r="B892" i="3"/>
  <c r="B1598" i="3"/>
  <c r="B1631" i="3"/>
  <c r="B1562" i="3"/>
  <c r="B1201" i="3"/>
  <c r="B1581" i="3"/>
  <c r="B962" i="3"/>
  <c r="B782" i="3"/>
  <c r="B20" i="3"/>
  <c r="B1367" i="3"/>
  <c r="B839" i="3"/>
  <c r="B850" i="3"/>
  <c r="B351" i="3"/>
  <c r="B535" i="3"/>
  <c r="B92" i="3"/>
  <c r="B443" i="3"/>
  <c r="B1059" i="3"/>
  <c r="B1325" i="3"/>
  <c r="B140" i="3"/>
  <c r="B855" i="3"/>
  <c r="B1099" i="3"/>
  <c r="B1323" i="3"/>
  <c r="B174" i="3"/>
  <c r="B1513" i="3"/>
  <c r="B2023" i="3"/>
  <c r="B1327" i="3"/>
  <c r="B284" i="3"/>
  <c r="B367" i="3"/>
  <c r="B1349" i="3"/>
  <c r="B657" i="3"/>
  <c r="B1613" i="3"/>
  <c r="B1152" i="3"/>
  <c r="B938" i="3"/>
  <c r="B183" i="3"/>
  <c r="B1346" i="3"/>
  <c r="B660" i="3"/>
  <c r="B1979" i="3"/>
  <c r="B1869" i="3"/>
  <c r="B633" i="3"/>
  <c r="B1187" i="3"/>
  <c r="B1117" i="3"/>
  <c r="B665" i="3"/>
  <c r="B1202" i="3"/>
  <c r="B1667" i="3"/>
  <c r="B1706" i="3"/>
  <c r="B1253" i="3"/>
  <c r="B1818" i="3"/>
  <c r="B36" i="3"/>
  <c r="B381" i="3"/>
  <c r="B977" i="3"/>
  <c r="B542" i="3"/>
  <c r="B945" i="3"/>
  <c r="B786" i="3"/>
  <c r="B112" i="3"/>
  <c r="B1274" i="3"/>
  <c r="B1108" i="3"/>
  <c r="B1986" i="3"/>
  <c r="B1503" i="3"/>
  <c r="B1197" i="3"/>
  <c r="B482" i="3"/>
  <c r="B1933" i="3"/>
  <c r="B1666" i="3"/>
  <c r="B1628" i="3"/>
  <c r="B1139" i="3"/>
  <c r="B1288" i="3"/>
  <c r="B750" i="3"/>
  <c r="B1802" i="3"/>
  <c r="B1405" i="3"/>
  <c r="B1976" i="3"/>
  <c r="B510" i="3"/>
  <c r="B560" i="3"/>
  <c r="B171" i="3"/>
  <c r="B1292" i="3"/>
  <c r="B1560" i="3"/>
  <c r="B324" i="3"/>
  <c r="B1964" i="3"/>
  <c r="B623" i="3"/>
  <c r="B928" i="3"/>
  <c r="B687" i="3"/>
  <c r="B72" i="3"/>
  <c r="B1616" i="3"/>
  <c r="B460" i="3"/>
  <c r="B1436" i="3"/>
  <c r="B1792" i="3"/>
  <c r="B1647" i="3"/>
  <c r="B165" i="3"/>
  <c r="B662" i="3"/>
  <c r="B167" i="3"/>
  <c r="B1261" i="3"/>
  <c r="B1159" i="3"/>
  <c r="B877" i="3"/>
  <c r="B1801" i="3"/>
  <c r="B730" i="3"/>
  <c r="B1520" i="3"/>
  <c r="B1758" i="3"/>
  <c r="B740" i="3"/>
  <c r="B1329" i="3"/>
  <c r="B809" i="3"/>
  <c r="B1364" i="3"/>
  <c r="B600" i="3"/>
  <c r="B1025" i="3"/>
  <c r="B1200" i="3"/>
  <c r="B433" i="3"/>
  <c r="B156" i="3"/>
  <c r="B380" i="3"/>
  <c r="B11" i="3"/>
  <c r="B1161" i="3"/>
  <c r="B1871" i="3"/>
  <c r="B1479" i="3"/>
  <c r="B1324" i="3"/>
  <c r="B1251" i="3"/>
  <c r="B238" i="3"/>
  <c r="B1941" i="3"/>
  <c r="B1437" i="3"/>
  <c r="B1237" i="3"/>
  <c r="B1828" i="3"/>
  <c r="B1278" i="3"/>
  <c r="B1131" i="3"/>
  <c r="B528" i="3"/>
  <c r="B1808" i="3"/>
  <c r="B865" i="3"/>
  <c r="B880" i="3"/>
  <c r="B1276" i="3"/>
  <c r="B1194" i="3"/>
  <c r="B1451" i="3"/>
  <c r="B1895" i="3"/>
  <c r="B1555" i="3"/>
  <c r="B992" i="3"/>
  <c r="B1985" i="3"/>
  <c r="B1271" i="3"/>
  <c r="B551" i="3"/>
  <c r="B190" i="3"/>
  <c r="B1576" i="3"/>
  <c r="B488" i="3"/>
  <c r="B104" i="3"/>
  <c r="B1957" i="3"/>
  <c r="B1778" i="3"/>
  <c r="B1390" i="3"/>
  <c r="B1396" i="3"/>
  <c r="B303" i="3"/>
  <c r="B1906" i="3"/>
  <c r="B784" i="3"/>
  <c r="B1677" i="3"/>
  <c r="B2015" i="3"/>
  <c r="B1965" i="3"/>
  <c r="B1685" i="3"/>
  <c r="B1839" i="3"/>
  <c r="B1774" i="3"/>
  <c r="B1695" i="3"/>
  <c r="B935" i="3"/>
  <c r="B515" i="3"/>
  <c r="B956" i="3"/>
  <c r="B1949" i="3"/>
  <c r="B123" i="3"/>
  <c r="B1584" i="3"/>
  <c r="B1664" i="3"/>
  <c r="B1901" i="3"/>
  <c r="B1352" i="3"/>
  <c r="B257" i="3"/>
  <c r="B598" i="3"/>
  <c r="B1652" i="3"/>
  <c r="B602" i="3"/>
  <c r="B1125" i="3"/>
  <c r="B1286" i="3"/>
  <c r="B398" i="3"/>
  <c r="B1262" i="3"/>
  <c r="B593" i="3"/>
  <c r="B1836" i="3"/>
  <c r="B1605" i="3"/>
  <c r="B234" i="3"/>
  <c r="B1714" i="3"/>
  <c r="B2014" i="3"/>
  <c r="B1630" i="3"/>
  <c r="B1819" i="3"/>
  <c r="B288" i="3"/>
  <c r="B559" i="3"/>
  <c r="B1528" i="3"/>
  <c r="B18" i="3"/>
  <c r="B146" i="3"/>
  <c r="B1412" i="3"/>
  <c r="B780" i="3"/>
  <c r="B132" i="3"/>
  <c r="B921" i="3"/>
  <c r="B106" i="3"/>
  <c r="B1961" i="3"/>
  <c r="B753" i="3"/>
  <c r="B2003" i="3"/>
  <c r="B1371" i="3"/>
  <c r="B1876" i="3"/>
  <c r="B375" i="3"/>
  <c r="B791" i="3"/>
  <c r="B998" i="3"/>
  <c r="B1939" i="3"/>
  <c r="B277" i="3"/>
  <c r="B138" i="3"/>
  <c r="B52" i="3"/>
  <c r="B1229" i="3"/>
  <c r="B549" i="3"/>
  <c r="B1153" i="3"/>
  <c r="B703" i="3"/>
  <c r="B389" i="3"/>
  <c r="B792" i="3"/>
  <c r="B1655" i="3"/>
  <c r="B1838" i="3"/>
  <c r="B278" i="3"/>
  <c r="B1223" i="3"/>
  <c r="B157" i="3"/>
  <c r="B614" i="3"/>
  <c r="B1195" i="3"/>
  <c r="B1232" i="3"/>
  <c r="B1856" i="3"/>
  <c r="B1445" i="3"/>
  <c r="B1268" i="3"/>
  <c r="B1648" i="3"/>
  <c r="B1122" i="3"/>
  <c r="B455" i="3"/>
  <c r="B1147" i="3"/>
  <c r="B1362" i="3"/>
  <c r="B923" i="3"/>
  <c r="B298" i="3"/>
  <c r="B1330" i="3"/>
  <c r="B1756" i="3"/>
  <c r="B1462" i="3"/>
  <c r="B1210" i="3"/>
  <c r="B629" i="3"/>
  <c r="B1178" i="3"/>
  <c r="B816" i="3"/>
  <c r="B942" i="3"/>
  <c r="B584" i="3"/>
  <c r="B1517" i="3"/>
  <c r="B522" i="3"/>
  <c r="B1720" i="3"/>
  <c r="B1309" i="3"/>
  <c r="B58" i="3"/>
  <c r="B164" i="3"/>
  <c r="B676" i="3"/>
  <c r="B359" i="3"/>
  <c r="B236" i="3"/>
  <c r="B1637" i="3"/>
  <c r="B1918" i="3"/>
  <c r="B591" i="3"/>
  <c r="B1626" i="3"/>
  <c r="B653" i="3"/>
  <c r="B1058" i="3"/>
  <c r="B1862" i="3"/>
  <c r="B1676" i="3"/>
  <c r="B1343" i="3"/>
  <c r="B899" i="3"/>
  <c r="B187" i="3"/>
  <c r="B1891" i="3"/>
  <c r="B235" i="3"/>
  <c r="B1388" i="3"/>
  <c r="B341" i="3"/>
  <c r="B1333" i="3"/>
  <c r="B1754" i="3"/>
  <c r="B1954" i="3"/>
  <c r="B1189" i="3"/>
  <c r="B1432" i="3"/>
  <c r="B1236" i="3"/>
  <c r="B1734" i="3"/>
  <c r="B1247" i="3"/>
  <c r="B291" i="3"/>
  <c r="B1717" i="3"/>
  <c r="B1264" i="3"/>
  <c r="B534" i="3"/>
  <c r="B634" i="3"/>
  <c r="B616" i="3"/>
  <c r="B808" i="3"/>
  <c r="B506" i="3"/>
  <c r="B354" i="3"/>
  <c r="B1415" i="3"/>
  <c r="B1718" i="3"/>
  <c r="B1155" i="3"/>
  <c r="B1982" i="3"/>
  <c r="B520" i="3"/>
  <c r="B725" i="3"/>
  <c r="B413" i="3"/>
  <c r="B1952" i="3"/>
  <c r="B1350" i="3"/>
  <c r="B1468" i="3"/>
  <c r="B1591" i="3"/>
  <c r="B1344" i="3"/>
  <c r="B1551" i="3"/>
  <c r="B1750" i="3"/>
  <c r="B686" i="3"/>
  <c r="B1525" i="3"/>
  <c r="B1336" i="3"/>
  <c r="B1293" i="3"/>
  <c r="B1788" i="3"/>
  <c r="B857" i="3"/>
  <c r="B1749" i="3"/>
  <c r="B252" i="3"/>
  <c r="B1370" i="3"/>
  <c r="B606" i="3"/>
  <c r="B580" i="3"/>
  <c r="B314" i="3"/>
  <c r="B1225" i="3"/>
  <c r="B867" i="3"/>
  <c r="B1632" i="3"/>
  <c r="B1911" i="3"/>
  <c r="B1138" i="3"/>
  <c r="B1858" i="3"/>
  <c r="B1960" i="3"/>
  <c r="B126" i="3"/>
  <c r="B1732" i="3"/>
  <c r="B1563" i="3"/>
  <c r="B1129" i="3"/>
  <c r="B405" i="3"/>
  <c r="B1238" i="3"/>
  <c r="B1767" i="3"/>
  <c r="B1142" i="3"/>
  <c r="B1119" i="3"/>
  <c r="B1955" i="3"/>
  <c r="B1723" i="3"/>
  <c r="B1919" i="3"/>
  <c r="B881" i="3"/>
  <c r="B1477" i="3"/>
  <c r="B1374" i="3"/>
  <c r="B1548" i="3"/>
  <c r="B1498" i="3"/>
  <c r="B716" i="3"/>
  <c r="B1314" i="3"/>
  <c r="B772" i="3"/>
  <c r="B711" i="3"/>
  <c r="B964" i="3"/>
  <c r="B1893" i="3"/>
  <c r="B113" i="3"/>
  <c r="B843" i="3"/>
  <c r="B1887" i="3"/>
  <c r="B1091" i="3"/>
  <c r="B732" i="3"/>
  <c r="B366" i="3"/>
  <c r="B1055" i="3"/>
  <c r="B279" i="3"/>
  <c r="B1013" i="3"/>
  <c r="B1969" i="3"/>
  <c r="B530" i="3"/>
  <c r="B1287" i="3"/>
  <c r="B1702" i="3"/>
  <c r="B1772" i="3"/>
  <c r="B1134" i="3"/>
  <c r="B599" i="3"/>
  <c r="B905" i="3"/>
  <c r="B1927" i="3"/>
  <c r="B704" i="3"/>
  <c r="B866" i="3"/>
  <c r="B331" i="3"/>
  <c r="B519" i="3"/>
  <c r="B779" i="3"/>
  <c r="B1994" i="3"/>
  <c r="B1973" i="3"/>
  <c r="B695" i="3"/>
  <c r="B102" i="3"/>
  <c r="B94" i="3"/>
  <c r="B1691" i="3"/>
  <c r="B1936" i="3"/>
  <c r="B1687" i="3"/>
  <c r="B727" i="3"/>
  <c r="B717" i="3"/>
  <c r="B698" i="3"/>
  <c r="B1211" i="3"/>
  <c r="B1361" i="3"/>
  <c r="B702" i="3"/>
  <c r="B810" i="3"/>
  <c r="B218" i="3"/>
  <c r="B1044" i="3"/>
  <c r="B576" i="3"/>
  <c r="B1375" i="3"/>
  <c r="B1590" i="3"/>
  <c r="B1296" i="3"/>
  <c r="B640" i="3"/>
  <c r="B557" i="3"/>
  <c r="B871" i="3"/>
  <c r="B669" i="3"/>
  <c r="B927" i="3"/>
  <c r="B1416" i="3"/>
  <c r="B1983" i="3"/>
  <c r="B1410" i="3"/>
  <c r="B1320" i="3"/>
  <c r="B1299" i="3"/>
  <c r="B1812" i="3"/>
  <c r="B480" i="3"/>
  <c r="B1978" i="3"/>
  <c r="B1907" i="3"/>
  <c r="B1766" i="3"/>
  <c r="B1332" i="3"/>
  <c r="B1493" i="3"/>
  <c r="B1328" i="3"/>
  <c r="B1742" i="3"/>
  <c r="B1780" i="3"/>
  <c r="B1009" i="3"/>
  <c r="B328" i="3"/>
  <c r="B84" i="3"/>
  <c r="B1096" i="3"/>
  <c r="B1671" i="3"/>
  <c r="B778" i="3"/>
  <c r="B485" i="3"/>
  <c r="B1083" i="3"/>
  <c r="B1133" i="3"/>
  <c r="B1249" i="3"/>
  <c r="B1760" i="3"/>
  <c r="B752" i="3"/>
  <c r="B832" i="3"/>
  <c r="B1511" i="3"/>
  <c r="B1642" i="3"/>
  <c r="B1452" i="3"/>
  <c r="B1080" i="3"/>
  <c r="B1310" i="3"/>
  <c r="B724" i="3"/>
  <c r="B1807" i="3"/>
  <c r="B2006" i="3"/>
  <c r="B587" i="3"/>
  <c r="B793" i="3"/>
  <c r="B67" i="3"/>
  <c r="B1804" i="3"/>
  <c r="B840" i="3"/>
  <c r="B986" i="3"/>
  <c r="B1670" i="3"/>
  <c r="B1536" i="3"/>
  <c r="B1246" i="3"/>
  <c r="B1326" i="3"/>
  <c r="B862" i="3"/>
  <c r="B1843" i="3"/>
  <c r="B561" i="3"/>
  <c r="B944" i="3"/>
  <c r="B796" i="3"/>
  <c r="B1185" i="3"/>
  <c r="B1703" i="3"/>
  <c r="B38" i="3"/>
  <c r="B562" i="3"/>
  <c r="B661" i="3"/>
  <c r="B1110" i="3"/>
  <c r="B785" i="3"/>
  <c r="B684" i="3"/>
  <c r="B1151" i="3"/>
  <c r="B343" i="3"/>
  <c r="B355" i="3"/>
  <c r="B1853" i="3"/>
  <c r="B116" i="3"/>
  <c r="B1116" i="3"/>
  <c r="B1620" i="3"/>
  <c r="B828" i="3"/>
  <c r="B1284" i="3"/>
  <c r="B311" i="3"/>
  <c r="B1824" i="3"/>
  <c r="B937" i="3"/>
  <c r="B128" i="3"/>
  <c r="B118" i="3"/>
  <c r="B161" i="3"/>
  <c r="B965" i="3"/>
  <c r="B1397" i="3"/>
  <c r="B422" i="3"/>
  <c r="B1768" i="3"/>
  <c r="B1741" i="3"/>
  <c r="B437" i="3"/>
  <c r="B774" i="3"/>
  <c r="B697" i="3"/>
  <c r="B1996" i="3"/>
  <c r="B550" i="3"/>
  <c r="B852" i="3"/>
  <c r="B991" i="3"/>
  <c r="B765" i="3"/>
  <c r="B1455" i="3"/>
  <c r="B1821" i="3"/>
  <c r="B1877" i="3"/>
  <c r="B1123" i="3"/>
  <c r="B1448" i="3"/>
  <c r="B818" i="3"/>
  <c r="B472" i="3"/>
  <c r="B457" i="3"/>
  <c r="B596" i="3"/>
  <c r="B249" i="3"/>
  <c r="B133" i="3"/>
  <c r="B114" i="3"/>
  <c r="B1121" i="3"/>
  <c r="B461" i="3"/>
  <c r="B344" i="3"/>
  <c r="B1795" i="3"/>
  <c r="B527" i="3"/>
  <c r="B1070" i="3"/>
  <c r="B1316" i="3"/>
  <c r="B74" i="3"/>
  <c r="B70" i="3"/>
  <c r="B1089" i="3"/>
  <c r="B212" i="3"/>
  <c r="B912" i="3"/>
  <c r="B790" i="3"/>
  <c r="B1567" i="3"/>
  <c r="B415" i="3"/>
  <c r="B316" i="3"/>
  <c r="B409" i="3"/>
  <c r="B1886" i="3"/>
  <c r="B544" i="3"/>
  <c r="B1735" i="3"/>
  <c r="B1830" i="3"/>
  <c r="B188" i="3"/>
  <c r="B873" i="3"/>
  <c r="B24" i="3"/>
  <c r="B1355" i="3"/>
  <c r="B508" i="3"/>
  <c r="B1453" i="3"/>
  <c r="B679" i="3"/>
  <c r="B994" i="3"/>
  <c r="B568" i="3"/>
  <c r="B1636" i="3"/>
  <c r="B603" i="3"/>
  <c r="B1583" i="3"/>
  <c r="B270" i="3"/>
  <c r="B882" i="3"/>
  <c r="B1849" i="3"/>
  <c r="B15" i="3"/>
  <c r="B805" i="3"/>
  <c r="B147" i="3"/>
  <c r="B1491" i="3"/>
  <c r="B489" i="3"/>
  <c r="B1867" i="3"/>
  <c r="B192" i="3"/>
  <c r="B336" i="3"/>
  <c r="B822" i="3"/>
  <c r="B558" i="3"/>
  <c r="B762" i="3"/>
  <c r="B1391" i="3"/>
  <c r="B1441" i="3"/>
  <c r="B1273" i="3"/>
  <c r="B678" i="3"/>
  <c r="B1712" i="3"/>
  <c r="B1011" i="3"/>
  <c r="B1307" i="3"/>
  <c r="B403" i="3"/>
  <c r="B1444" i="3"/>
  <c r="B211" i="3"/>
  <c r="B1607" i="3"/>
  <c r="B1213" i="3"/>
  <c r="B763" i="3"/>
  <c r="B858" i="3"/>
  <c r="B153" i="3"/>
  <c r="B223" i="3"/>
  <c r="B1682" i="3"/>
  <c r="B1899" i="3"/>
  <c r="B97" i="3"/>
  <c r="B1834" i="3"/>
  <c r="B1883" i="3"/>
  <c r="B151" i="3"/>
  <c r="B1922" i="3"/>
  <c r="B1291" i="3"/>
  <c r="B1744" i="3"/>
  <c r="B1726" i="3"/>
  <c r="B363" i="3"/>
  <c r="B1282" i="3"/>
  <c r="B646" i="3"/>
  <c r="B659" i="3"/>
  <c r="B981" i="3"/>
  <c r="B68" i="3"/>
  <c r="B371" i="3"/>
  <c r="B411" i="3"/>
  <c r="B468" i="3"/>
  <c r="B64" i="3"/>
  <c r="B814" i="3"/>
  <c r="B334" i="3"/>
  <c r="B1733" i="3"/>
  <c r="B802" i="3"/>
  <c r="B1205" i="3"/>
  <c r="B180" i="3"/>
  <c r="B824" i="3"/>
  <c r="B872" i="3"/>
  <c r="B1398" i="3"/>
  <c r="B658" i="3"/>
  <c r="B120" i="3"/>
  <c r="B655" i="3"/>
  <c r="B1746" i="3"/>
  <c r="B578" i="3"/>
  <c r="B619" i="3"/>
  <c r="B1942" i="3"/>
  <c r="B719" i="3"/>
  <c r="B756" i="3"/>
  <c r="B611" i="3"/>
  <c r="B1837" i="3"/>
  <c r="B663" i="3"/>
  <c r="B1490" i="3"/>
  <c r="B1776" i="3"/>
  <c r="B1240" i="3"/>
  <c r="B1454" i="3"/>
  <c r="B31" i="3"/>
  <c r="B783" i="3"/>
  <c r="B1027" i="3"/>
  <c r="B1621" i="3"/>
  <c r="B834" i="3"/>
  <c r="B1188" i="3"/>
  <c r="B1878" i="3"/>
  <c r="B895" i="3"/>
  <c r="B533" i="3"/>
  <c r="B722" i="3"/>
  <c r="B1898" i="3"/>
  <c r="B263" i="3"/>
  <c r="B1518" i="3"/>
  <c r="B1953" i="3"/>
  <c r="B481" i="3"/>
  <c r="B2017" i="3"/>
  <c r="B592" i="3"/>
  <c r="B261" i="3"/>
  <c r="B191" i="3"/>
  <c r="B1729" i="3"/>
  <c r="B159" i="3"/>
  <c r="B1337" i="3"/>
  <c r="B1144" i="3"/>
  <c r="B379" i="3"/>
  <c r="B144" i="3"/>
  <c r="B1376" i="3"/>
  <c r="B242" i="3"/>
  <c r="B66" i="3"/>
  <c r="B1841" i="3"/>
  <c r="B1575" i="3"/>
  <c r="B1786" i="3"/>
  <c r="B395" i="3"/>
  <c r="B32" i="3"/>
  <c r="B1602" i="3"/>
  <c r="B317" i="3"/>
  <c r="B1944" i="3"/>
  <c r="B254" i="3"/>
  <c r="B361" i="3"/>
  <c r="B326" i="3"/>
  <c r="B292" i="3"/>
  <c r="B689" i="3"/>
  <c r="B647" i="3"/>
  <c r="B1174" i="3"/>
  <c r="B1644" i="3"/>
  <c r="B1082" i="3"/>
  <c r="B1530" i="3"/>
  <c r="B34" i="3"/>
  <c r="B700" i="3"/>
  <c r="B1755" i="3"/>
  <c r="B1354" i="3"/>
  <c r="B948" i="3"/>
  <c r="B57" i="3"/>
  <c r="B1674" i="3"/>
  <c r="B358" i="3"/>
  <c r="B1160" i="3"/>
  <c r="B1280" i="3"/>
  <c r="B1974" i="3"/>
  <c r="B63" i="3"/>
  <c r="B1890" i="3"/>
  <c r="B1266" i="3"/>
  <c r="B1865" i="3"/>
  <c r="B1609" i="3"/>
  <c r="B954" i="3"/>
  <c r="B941" i="3"/>
  <c r="B1751" i="3"/>
  <c r="B624" i="3"/>
  <c r="B1692" i="3"/>
  <c r="B1870" i="3"/>
  <c r="B734" i="3"/>
  <c r="B1486" i="3"/>
  <c r="B202" i="3"/>
  <c r="B444" i="3"/>
  <c r="B1998" i="3"/>
  <c r="B1897" i="3"/>
  <c r="B1925" i="3"/>
  <c r="B1882" i="3"/>
  <c r="B1012" i="3"/>
  <c r="B1384" i="3"/>
  <c r="B980" i="3"/>
  <c r="B1822" i="3"/>
  <c r="B974" i="3"/>
  <c r="B961" i="3"/>
  <c r="B19" i="3"/>
  <c r="B266" i="3"/>
  <c r="B1846" i="3"/>
  <c r="B424" i="3"/>
  <c r="B1301" i="3"/>
  <c r="B80" i="3"/>
  <c r="B347" i="3"/>
  <c r="B1789" i="3"/>
  <c r="B1612" i="3"/>
  <c r="B612" i="3"/>
  <c r="B1489" i="3"/>
  <c r="B577" i="3"/>
  <c r="B1814" i="3"/>
  <c r="B1791" i="3"/>
  <c r="B1633" i="3"/>
  <c r="B1222" i="3"/>
  <c r="B490" i="3"/>
  <c r="B1920" i="3"/>
  <c r="B1704" i="3"/>
  <c r="B1303" i="3"/>
  <c r="B729" i="3"/>
  <c r="B17" i="3"/>
  <c r="B207" i="3"/>
  <c r="B293" i="3"/>
  <c r="B625" i="3"/>
  <c r="B313" i="3"/>
  <c r="B1150" i="3"/>
  <c r="B497" i="3"/>
  <c r="B615" i="3"/>
  <c r="B1710" i="3"/>
  <c r="B1318" i="3"/>
  <c r="B1716" i="3"/>
  <c r="B581" i="3"/>
  <c r="B1401" i="3"/>
  <c r="B1169" i="3"/>
  <c r="B46" i="3"/>
  <c r="B449" i="3"/>
  <c r="B1727" i="3"/>
  <c r="B1130" i="3"/>
  <c r="B1810" i="3"/>
  <c r="B477" i="3"/>
  <c r="B1840" i="3"/>
  <c r="B761" i="3"/>
  <c r="B456" i="3"/>
  <c r="B989" i="3"/>
  <c r="B1900" i="3"/>
  <c r="B199" i="3"/>
  <c r="B848" i="3"/>
  <c r="B1559" i="3"/>
  <c r="B42" i="3"/>
  <c r="B1290" i="3"/>
  <c r="B440" i="3"/>
  <c r="B1731" i="3"/>
  <c r="B221" i="3"/>
  <c r="B1037" i="3"/>
  <c r="B1340" i="3"/>
  <c r="B1651" i="3"/>
  <c r="B21" i="3"/>
  <c r="B1823" i="3"/>
  <c r="B474" i="3"/>
  <c r="B459" i="3"/>
  <c r="B1226" i="3"/>
  <c r="B1624" i="3"/>
  <c r="B8" i="3"/>
  <c r="B1221" i="3"/>
  <c r="B553" i="3"/>
  <c r="B2026" i="3"/>
  <c r="B631" i="3"/>
  <c r="B1844" i="3"/>
  <c r="B976" i="3"/>
  <c r="B1861" i="3"/>
  <c r="B1705" i="3"/>
  <c r="B1932" i="3"/>
  <c r="B1603" i="3"/>
  <c r="B1053" i="3"/>
  <c r="B709" i="3"/>
  <c r="B769" i="3"/>
  <c r="B333" i="3"/>
  <c r="B1668" i="3"/>
  <c r="B878" i="3"/>
  <c r="B1263" i="3"/>
  <c r="B509" i="3"/>
  <c r="B574" i="3"/>
  <c r="B1800" i="3"/>
  <c r="B1545" i="3"/>
  <c r="B1934" i="3"/>
  <c r="B127" i="3"/>
  <c r="B1608" i="3"/>
  <c r="B1872" i="3"/>
  <c r="B579" i="3"/>
  <c r="B200" i="3"/>
  <c r="B1989" i="3"/>
  <c r="B1659" i="3"/>
  <c r="B1805" i="3"/>
  <c r="B1753" i="3"/>
  <c r="B166" i="3"/>
  <c r="B1010" i="3"/>
  <c r="B129" i="3"/>
  <c r="B1496" i="3"/>
  <c r="B143" i="3"/>
  <c r="B1495" i="3"/>
  <c r="B1910" i="3"/>
  <c r="B1892" i="3"/>
  <c r="B706" i="3"/>
  <c r="B523" i="3"/>
  <c r="B1657" i="3"/>
  <c r="B672" i="3"/>
  <c r="B77" i="3"/>
  <c r="B451" i="3"/>
  <c r="B914" i="3"/>
  <c r="B1737" i="3"/>
  <c r="B1045" i="3"/>
  <c r="B1270" i="3"/>
  <c r="B1077" i="3"/>
  <c r="B1428" i="3"/>
  <c r="B903" i="3"/>
  <c r="B1179" i="3"/>
  <c r="B718" i="3"/>
  <c r="B427" i="3"/>
  <c r="B1745" i="3"/>
  <c r="B1258" i="3"/>
  <c r="B1469" i="3"/>
  <c r="B618" i="3"/>
  <c r="B346" i="3"/>
  <c r="B1442" i="3"/>
  <c r="B1478" i="3"/>
  <c r="B1076" i="3"/>
  <c r="B61" i="3"/>
  <c r="B500" i="3"/>
  <c r="B1087" i="3"/>
  <c r="B1595" i="3"/>
  <c r="B955" i="3"/>
  <c r="B1472" i="3"/>
  <c r="B1295" i="3"/>
  <c r="B1275" i="3"/>
  <c r="B749" i="3"/>
  <c r="B807" i="3"/>
  <c r="B1372" i="3"/>
  <c r="B458" i="3"/>
  <c r="B1580" i="3"/>
  <c r="B1254" i="3"/>
  <c r="B651" i="3"/>
  <c r="B1191" i="3"/>
  <c r="B650" i="3"/>
  <c r="B566" i="3"/>
  <c r="B115" i="3"/>
  <c r="B1988" i="3"/>
  <c r="B247" i="3"/>
  <c r="B1363" i="3"/>
  <c r="B262" i="3"/>
  <c r="B1145" i="3"/>
  <c r="B845" i="3"/>
  <c r="B681" i="3"/>
  <c r="B1175" i="3"/>
  <c r="B1317" i="3"/>
  <c r="B731" i="3"/>
  <c r="B408" i="3"/>
  <c r="B420" i="3"/>
  <c r="B2010" i="3"/>
  <c r="B1196" i="3"/>
  <c r="B637" i="3"/>
  <c r="B1574" i="3"/>
  <c r="B770" i="3"/>
  <c r="B635" i="3"/>
  <c r="B1579" i="3"/>
  <c r="B1640" i="3"/>
  <c r="B1056" i="3"/>
  <c r="B228" i="3"/>
  <c r="B925" i="3"/>
  <c r="B747" i="3"/>
  <c r="B1064" i="3"/>
  <c r="B1784" i="3"/>
  <c r="B117" i="3"/>
  <c r="B1500" i="3"/>
  <c r="B885" i="3"/>
  <c r="B1109" i="3"/>
  <c r="B546" i="3"/>
  <c r="B1972" i="3"/>
  <c r="B1409" i="3"/>
  <c r="B571" i="3"/>
  <c r="B1081" i="3"/>
  <c r="B185" i="3"/>
  <c r="B1524" i="3"/>
  <c r="B1646" i="3"/>
  <c r="B1701" i="3"/>
  <c r="B1032" i="3"/>
  <c r="B294" i="3"/>
  <c r="B342" i="3"/>
  <c r="B1604" i="3"/>
  <c r="B1016" i="3"/>
  <c r="B803" i="3"/>
  <c r="B1422" i="3"/>
  <c r="B1797" i="3"/>
  <c r="B800" i="3"/>
  <c r="B1339" i="3"/>
  <c r="B382" i="3"/>
  <c r="B1929" i="3"/>
  <c r="B1521" i="3"/>
  <c r="B607" i="3"/>
  <c r="B1414" i="3"/>
  <c r="B1833" i="3"/>
  <c r="B1105" i="3"/>
  <c r="B926" i="3"/>
  <c r="B196" i="3"/>
  <c r="B483" i="3"/>
  <c r="B348" i="3"/>
  <c r="B636" i="3"/>
  <c r="B402" i="3"/>
  <c r="B666" i="3"/>
  <c r="B1357" i="3"/>
  <c r="B50" i="3"/>
  <c r="B1669" i="3"/>
  <c r="B1743" i="3"/>
  <c r="B1825" i="3"/>
  <c r="B1095" i="3"/>
  <c r="B1816" i="3"/>
  <c r="B494" i="3"/>
  <c r="B1851" i="3"/>
  <c r="B958" i="3"/>
  <c r="B88" i="3"/>
  <c r="B1688" i="3"/>
  <c r="B349" i="3"/>
  <c r="B360" i="3"/>
  <c r="B1832" i="3"/>
  <c r="B908" i="3"/>
  <c r="B692" i="3"/>
  <c r="B76" i="3"/>
  <c r="B570" i="3"/>
  <c r="B987" i="3"/>
  <c r="B537" i="3"/>
  <c r="B755" i="3"/>
  <c r="B396" i="3"/>
  <c r="B306" i="3"/>
  <c r="B1573" i="3"/>
  <c r="B1512" i="3"/>
  <c r="B841" i="3"/>
  <c r="B172" i="3"/>
  <c r="B1103" i="3"/>
  <c r="B521" i="3"/>
  <c r="B1715" i="3"/>
  <c r="B255" i="3"/>
  <c r="B1193" i="3"/>
  <c r="B1593" i="3"/>
  <c r="B968" i="3"/>
  <c r="B1051" i="3"/>
  <c r="B352" i="3"/>
  <c r="B708" i="3"/>
  <c r="B567" i="3"/>
  <c r="B644" i="3"/>
  <c r="B1762" i="3"/>
  <c r="B237" i="3"/>
  <c r="B1866" i="3"/>
  <c r="B1005" i="3"/>
  <c r="B1962" i="3"/>
  <c r="B169" i="3"/>
  <c r="B963" i="3"/>
  <c r="B1007" i="3"/>
  <c r="B589" i="3"/>
  <c r="B754" i="3"/>
  <c r="B134" i="3"/>
  <c r="B1389" i="3"/>
  <c r="B181" i="3"/>
  <c r="B2007" i="3"/>
  <c r="B597" i="3"/>
  <c r="B43" i="3"/>
  <c r="B1265" i="3"/>
  <c r="B1946" i="3"/>
  <c r="B383" i="3"/>
  <c r="B900" i="3"/>
  <c r="B256" i="3"/>
  <c r="B798" i="3"/>
  <c r="B1977" i="3"/>
  <c r="B1018" i="3"/>
  <c r="B713" i="3"/>
  <c r="B305" i="3"/>
  <c r="B1219" i="3"/>
  <c r="B745" i="3"/>
  <c r="B393" i="3"/>
  <c r="B1980" i="3"/>
  <c r="B244" i="3"/>
  <c r="B701" i="3"/>
  <c r="B563" i="3"/>
  <c r="B410" i="3"/>
  <c r="B879" i="3"/>
  <c r="B1424" i="3"/>
  <c r="B973" i="3"/>
  <c r="B96" i="3"/>
  <c r="B888" i="3"/>
  <c r="B253" i="3"/>
  <c r="B1681" i="3"/>
  <c r="B1790" i="3"/>
  <c r="B14" i="3"/>
  <c r="B851" i="3"/>
  <c r="B739" i="3"/>
  <c r="B984" i="3"/>
  <c r="B1661" i="3"/>
  <c r="B1850" i="3"/>
  <c r="B511" i="3"/>
  <c r="B707" i="3"/>
  <c r="B728" i="3"/>
  <c r="B1884" i="3"/>
  <c r="B1054" i="3"/>
  <c r="B673" i="3"/>
  <c r="B582" i="3"/>
  <c r="B620" i="3"/>
  <c r="B1143" i="3"/>
  <c r="B1619" i="3"/>
  <c r="B536" i="3"/>
  <c r="B75" i="3"/>
  <c r="B1353" i="3"/>
  <c r="B605" i="3"/>
  <c r="B1981" i="3"/>
  <c r="B152" i="3"/>
  <c r="B654" i="3"/>
  <c r="B1069" i="3"/>
  <c r="B1382" i="3"/>
  <c r="B1993" i="3"/>
  <c r="B1480" i="3"/>
  <c r="B608" i="3"/>
  <c r="B81" i="3"/>
  <c r="B1366" i="3"/>
  <c r="B1112" i="3"/>
  <c r="B1427" i="3"/>
  <c r="B1975" i="3"/>
  <c r="B664" i="3"/>
  <c r="B1868" i="3"/>
  <c r="B1002" i="3"/>
  <c r="B1097" i="3"/>
  <c r="B1566" i="3"/>
  <c r="B1471" i="3"/>
  <c r="B630" i="3"/>
  <c r="B1447" i="3"/>
  <c r="B51" i="3"/>
  <c r="B1913" i="3"/>
  <c r="B949" i="3"/>
  <c r="B446" i="3"/>
  <c r="B1321" i="3"/>
  <c r="B573" i="3"/>
  <c r="B62" i="3"/>
  <c r="B1084" i="3"/>
  <c r="B145" i="3"/>
  <c r="B1373" i="3"/>
  <c r="B1967" i="3"/>
  <c r="B1662" i="3"/>
  <c r="B766" i="3"/>
  <c r="B985" i="3"/>
  <c r="B1903" i="3"/>
  <c r="B1338" i="3"/>
  <c r="B1565" i="3"/>
  <c r="B853" i="3"/>
  <c r="B1811" i="3"/>
  <c r="B155" i="3"/>
  <c r="B224" i="3"/>
  <c r="B201" i="3"/>
  <c r="B90" i="3"/>
  <c r="B967" i="3"/>
  <c r="B642" i="3"/>
  <c r="B372" i="3"/>
  <c r="B329" i="3"/>
  <c r="B1739" i="3"/>
  <c r="B757" i="3"/>
  <c r="B856" i="3"/>
  <c r="B267" i="3"/>
  <c r="B554" i="3"/>
  <c r="B934" i="3"/>
  <c r="B423" i="3"/>
  <c r="B353" i="3"/>
  <c r="B1120" i="3"/>
  <c r="B538" i="3"/>
  <c r="B626" i="3"/>
  <c r="B251" i="3"/>
  <c r="B1730" i="3"/>
  <c r="B318" i="3"/>
  <c r="B419" i="3"/>
  <c r="B421" i="3"/>
  <c r="B1641" i="3"/>
  <c r="B465" i="3"/>
  <c r="B1896" i="3"/>
  <c r="B1368" i="3"/>
  <c r="B124" i="3"/>
  <c r="B1279" i="3"/>
  <c r="B1093" i="3"/>
  <c r="B417" i="3"/>
  <c r="B588" i="3"/>
  <c r="B264" i="3"/>
  <c r="B838" i="3"/>
  <c r="B1433" i="3"/>
  <c r="B1294" i="3"/>
  <c r="B849" i="3"/>
  <c r="B1568" i="3"/>
  <c r="B1046" i="3"/>
  <c r="B1678" i="3"/>
  <c r="B1113" i="3"/>
  <c r="B513" i="3"/>
  <c r="B710" i="3"/>
  <c r="B759" i="3"/>
  <c r="B738" i="3"/>
  <c r="B1487" i="3"/>
  <c r="B179" i="3"/>
  <c r="B450" i="3"/>
  <c r="B744" i="3"/>
  <c r="B1259" i="3"/>
  <c r="B431" i="3"/>
  <c r="B1475" i="3"/>
  <c r="B1617" i="3"/>
  <c r="B1527" i="3"/>
  <c r="B595" i="3"/>
  <c r="B1377" i="3"/>
  <c r="B1166" i="3"/>
  <c r="B394" i="3"/>
  <c r="B742" i="3"/>
  <c r="B957" i="3"/>
  <c r="B1418" i="3"/>
  <c r="B1172" i="3"/>
  <c r="B1515" i="3"/>
  <c r="B85" i="3"/>
  <c r="B1506" i="3"/>
  <c r="B1204" i="3"/>
  <c r="B1255" i="3"/>
  <c r="B79" i="3"/>
  <c r="B463" i="3"/>
  <c r="B609" i="3"/>
  <c r="B1248" i="3"/>
  <c r="B1079" i="3"/>
  <c r="B373" i="3"/>
  <c r="B1752" i="3"/>
  <c r="B1945" i="3"/>
  <c r="B170" i="3"/>
  <c r="B59" i="3"/>
  <c r="B1041" i="3"/>
  <c r="B65" i="3"/>
  <c r="B773" i="3"/>
  <c r="B226" i="3"/>
  <c r="B789" i="3"/>
  <c r="B690" i="3"/>
  <c r="B674" i="3"/>
  <c r="B1803" i="3"/>
  <c r="B649" i="3"/>
  <c r="B388" i="3"/>
  <c r="B368" i="3"/>
  <c r="B137" i="3"/>
  <c r="B613" i="3"/>
  <c r="B475" i="3"/>
  <c r="B71" i="3"/>
  <c r="B572" i="3"/>
  <c r="B1106" i="3"/>
  <c r="B330" i="3"/>
  <c r="B525" i="3"/>
  <c r="B694" i="3"/>
  <c r="B416" i="3"/>
  <c r="B1457" i="3"/>
  <c r="B1538" i="3"/>
  <c r="B1502" i="3"/>
  <c r="B870" i="3"/>
  <c r="B1241" i="3"/>
  <c r="B1675" i="3"/>
  <c r="B222" i="3"/>
  <c r="B135" i="3"/>
  <c r="B875" i="3"/>
  <c r="B889" i="3"/>
  <c r="B321" i="3"/>
  <c r="B384" i="3"/>
  <c r="B2020" i="3"/>
  <c r="B1243" i="3"/>
  <c r="B1181" i="3"/>
  <c r="B338" i="3"/>
  <c r="B441" i="3"/>
  <c r="B1098" i="3"/>
  <c r="B545" i="3"/>
  <c r="B1235" i="3"/>
  <c r="B454" i="3"/>
  <c r="B1482" i="3"/>
  <c r="B49" i="3"/>
  <c r="B1214" i="3"/>
  <c r="B473" i="3"/>
  <c r="B1847" i="3"/>
  <c r="B1057" i="3"/>
  <c r="B1345" i="3"/>
  <c r="B1618" i="3"/>
  <c r="B1697" i="3"/>
  <c r="B1787" i="3"/>
  <c r="B795" i="3"/>
  <c r="B799" i="3"/>
  <c r="B1137" i="3"/>
  <c r="B1176" i="3"/>
  <c r="B30" i="3"/>
  <c r="B53" i="3"/>
  <c r="B932" i="3"/>
  <c r="B1154" i="3"/>
  <c r="B1611" i="3"/>
  <c r="B1184" i="3"/>
  <c r="B886" i="3"/>
  <c r="B1759" i="3"/>
  <c r="B1769" i="3"/>
  <c r="B1026" i="3"/>
  <c r="B844" i="3"/>
  <c r="B1689" i="3"/>
  <c r="B531" i="3"/>
  <c r="B210" i="3"/>
  <c r="B89" i="3"/>
  <c r="B1094" i="3"/>
  <c r="B217" i="3"/>
  <c r="B286" i="3"/>
  <c r="B953" i="3"/>
  <c r="B1165" i="3"/>
  <c r="B1577" i="3"/>
  <c r="B1233" i="3"/>
  <c r="B1665" i="3"/>
  <c r="B230" i="3"/>
  <c r="B775" i="3"/>
  <c r="B469" i="3"/>
  <c r="B864" i="3"/>
  <c r="B240" i="3"/>
  <c r="B565" i="3"/>
  <c r="B1458" i="3"/>
  <c r="B407" i="3"/>
  <c r="B428" i="3"/>
  <c r="B204" i="3"/>
  <c r="B391" i="3"/>
  <c r="B804" i="3"/>
  <c r="B1679" i="3"/>
  <c r="B289" i="3"/>
  <c r="B1348" i="3"/>
  <c r="B1557" i="3"/>
  <c r="B412" i="3"/>
  <c r="B1430" i="3"/>
  <c r="B733" i="3"/>
  <c r="B1168" i="3"/>
  <c r="B1132" i="3"/>
  <c r="B40" i="3"/>
  <c r="B1721" i="3"/>
  <c r="B1556" i="3"/>
  <c r="B392" i="3"/>
  <c r="B979" i="3"/>
  <c r="B1163" i="3"/>
  <c r="B265" i="3"/>
  <c r="B227" i="3"/>
  <c r="B436" i="3"/>
  <c r="B594" i="3"/>
  <c r="B282" i="3"/>
  <c r="B1863" i="3"/>
  <c r="B811" i="3"/>
  <c r="B1761" i="3"/>
  <c r="B1277" i="3"/>
  <c r="B225" i="3"/>
  <c r="B176" i="3"/>
  <c r="B735" i="3"/>
  <c r="B1331" i="3"/>
  <c r="B787" i="3"/>
  <c r="B241" i="3"/>
  <c r="B1855" i="3"/>
  <c r="B1199" i="3"/>
  <c r="B1561" i="3"/>
  <c r="B300" i="3"/>
  <c r="B1771" i="3"/>
  <c r="B248" i="3"/>
  <c r="B1914" i="3"/>
  <c r="B869" i="3"/>
  <c r="B1028" i="3"/>
  <c r="B297" i="3"/>
  <c r="B177" i="3"/>
  <c r="B216" i="3"/>
  <c r="B327" i="3"/>
  <c r="B406" i="3"/>
  <c r="B617" i="3"/>
  <c r="B1118" i="3"/>
  <c r="B817" i="3"/>
  <c r="B1086" i="3"/>
  <c r="B1406" i="3"/>
  <c r="B1071" i="3"/>
  <c r="B894" i="3"/>
  <c r="B1610" i="3"/>
  <c r="B1984" i="3"/>
  <c r="B564" i="3"/>
  <c r="B48" i="3"/>
  <c r="B1842" i="3"/>
  <c r="B890" i="3"/>
  <c r="B1114" i="3"/>
  <c r="B971" i="3"/>
  <c r="B1351" i="3"/>
  <c r="B1001" i="3"/>
  <c r="B1024" i="3"/>
  <c r="B158" i="3"/>
  <c r="B182" i="3"/>
  <c r="B301" i="3"/>
  <c r="B1634" i="3"/>
  <c r="B339" i="3"/>
  <c r="B1793" i="3"/>
  <c r="B271" i="3"/>
  <c r="B1643" i="3"/>
  <c r="B815" i="3"/>
  <c r="B2019" i="3"/>
  <c r="B206" i="3"/>
  <c r="B498" i="3"/>
  <c r="B39" i="3"/>
  <c r="B532" i="3"/>
  <c r="B9" i="3"/>
  <c r="B1215" i="3"/>
  <c r="B628" i="3"/>
  <c r="B491" i="3"/>
  <c r="B1622" i="3"/>
  <c r="B512" i="3"/>
  <c r="B1473" i="3"/>
  <c r="B693" i="3"/>
  <c r="B1888" i="3"/>
  <c r="B25" i="3"/>
  <c r="B555" i="3"/>
  <c r="B821" i="3"/>
  <c r="B1029" i="3"/>
  <c r="B350" i="3"/>
  <c r="B28" i="3"/>
  <c r="B1956" i="3"/>
  <c r="B1102" i="3"/>
  <c r="B966" i="3"/>
  <c r="B1650" i="3"/>
  <c r="B478" i="3"/>
  <c r="B496" i="3"/>
  <c r="B41" i="3"/>
  <c r="B898" i="3"/>
  <c r="B996" i="3"/>
  <c r="B1529" i="3"/>
  <c r="B312" i="3"/>
  <c r="B29" i="3"/>
  <c r="B35" i="3"/>
  <c r="B44" i="3"/>
  <c r="B641" i="3"/>
  <c r="B1815" i="3"/>
  <c r="B667" i="3"/>
  <c r="B1395" i="3"/>
  <c r="B1572" i="3"/>
  <c r="B78" i="3"/>
  <c r="B863" i="3"/>
  <c r="B1298" i="3"/>
  <c r="B1649" i="3"/>
  <c r="B1090" i="3"/>
  <c r="B1950" i="3"/>
  <c r="B539" i="3"/>
  <c r="B1289" i="3"/>
  <c r="B184" i="3"/>
  <c r="B1719" i="3"/>
  <c r="B813" i="3"/>
  <c r="B1968" i="3"/>
  <c r="B425" i="3"/>
  <c r="B1564" i="3"/>
  <c r="B891" i="3"/>
  <c r="B1940" i="3"/>
  <c r="B1425" i="3"/>
  <c r="B983" i="3"/>
  <c r="B758" i="3"/>
  <c r="B915" i="3"/>
  <c r="B1794" i="3"/>
  <c r="B1207" i="3"/>
  <c r="B1921" i="3"/>
  <c r="B776" i="3"/>
  <c r="B1156" i="3"/>
  <c r="B1072" i="3"/>
  <c r="B688" i="3"/>
  <c r="B919" i="3"/>
  <c r="B471" i="3"/>
  <c r="B1537" i="3"/>
  <c r="B1038" i="3"/>
  <c r="B569" i="3"/>
  <c r="B548" i="3"/>
  <c r="B2001" i="3"/>
  <c r="B295" i="3"/>
  <c r="B268" i="3"/>
  <c r="B1379" i="3"/>
  <c r="B682" i="3"/>
  <c r="B1880" i="3"/>
  <c r="B1963" i="3"/>
  <c r="B643" i="3"/>
  <c r="B639" i="3"/>
  <c r="B464" i="3"/>
  <c r="B73" i="3"/>
  <c r="B452" i="3"/>
  <c r="B1242" i="3"/>
  <c r="B893" i="3"/>
  <c r="B1075" i="3"/>
  <c r="B1485" i="3"/>
  <c r="B975" i="3"/>
  <c r="B418" i="3"/>
  <c r="B1494" i="3"/>
  <c r="B929" i="3"/>
  <c r="B1435" i="3"/>
  <c r="B1167" i="3"/>
  <c r="B868" i="3"/>
  <c r="B87" i="3"/>
  <c r="B1672" i="3"/>
  <c r="B901" i="3"/>
  <c r="B290" i="3"/>
  <c r="B1227" i="3"/>
  <c r="B23" i="3"/>
  <c r="B2" i="3"/>
  <c r="B1708" i="3"/>
  <c r="B1585" i="3"/>
  <c r="B604" i="3"/>
  <c r="B1107" i="3"/>
  <c r="B1450" i="3"/>
  <c r="B1781" i="3"/>
  <c r="B1889" i="3"/>
  <c r="B819" i="3"/>
  <c r="B1417" i="3"/>
  <c r="B1509" i="3"/>
  <c r="B638" i="3"/>
  <c r="B705" i="3"/>
  <c r="B836" i="3"/>
  <c r="B178" i="3"/>
  <c r="B1164" i="3"/>
  <c r="B1713" i="3"/>
  <c r="B1065" i="3"/>
  <c r="B1088" i="3"/>
  <c r="B543" i="3"/>
  <c r="B1043" i="3"/>
  <c r="B1504" i="3"/>
  <c r="B37" i="3"/>
  <c r="B1173" i="3"/>
  <c r="B1777" i="3"/>
  <c r="B1297" i="3"/>
  <c r="B209" i="3"/>
  <c r="B696" i="3"/>
  <c r="B1360" i="3"/>
  <c r="B1186" i="3"/>
  <c r="B1446" i="3"/>
  <c r="B990" i="3"/>
  <c r="B1483" i="3"/>
  <c r="B2012" i="3"/>
  <c r="B1439" i="3"/>
  <c r="B335" i="3"/>
  <c r="B918" i="3"/>
  <c r="B470" i="3"/>
  <c r="B105" i="3"/>
  <c r="B466" i="3"/>
  <c r="B1757" i="3"/>
  <c r="B33" i="3"/>
  <c r="B272" i="3"/>
  <c r="B1315" i="3"/>
  <c r="B1663" i="3"/>
  <c r="B467" i="3"/>
  <c r="B768" i="3"/>
  <c r="B281" i="3"/>
  <c r="B909" i="3"/>
  <c r="B16" i="3"/>
  <c r="B1365" i="3"/>
  <c r="B1313" i="3"/>
  <c r="B377" i="3"/>
  <c r="B906" i="3"/>
  <c r="B683" i="3"/>
  <c r="B1586" i="3"/>
  <c r="B2016" i="3"/>
  <c r="B1063" i="3"/>
  <c r="B302" i="3"/>
  <c r="B69" i="3"/>
  <c r="B952" i="3"/>
  <c r="B110" i="3"/>
  <c r="B896" i="3"/>
  <c r="B203" i="3"/>
  <c r="B1501" i="3"/>
  <c r="B1190" i="3"/>
  <c r="B1600" i="3"/>
  <c r="B874" i="3"/>
  <c r="B439" i="3"/>
  <c r="B273" i="3"/>
  <c r="B1285" i="3"/>
  <c r="B590" i="3"/>
  <c r="B1782" i="3"/>
  <c r="B1385" i="3"/>
  <c r="B1523" i="3"/>
  <c r="B1260" i="3"/>
  <c r="B652" i="3"/>
  <c r="B484" i="3"/>
  <c r="B109" i="3"/>
  <c r="B586" i="3"/>
  <c r="B1499" i="3"/>
  <c r="B861" i="3"/>
  <c r="B1004" i="3"/>
  <c r="B136" i="3"/>
  <c r="B1724" i="3"/>
  <c r="B959" i="3"/>
  <c r="B1553" i="3"/>
  <c r="B514" i="3"/>
  <c r="B1481" i="3"/>
  <c r="B737" i="3"/>
  <c r="B345" i="3"/>
  <c r="B827" i="3"/>
  <c r="B1040" i="3"/>
  <c r="B319" i="3"/>
  <c r="B55" i="3"/>
  <c r="B1535" i="3"/>
  <c r="B632" i="3"/>
  <c r="B337" i="3"/>
  <c r="B186" i="3"/>
  <c r="B1042" i="3"/>
  <c r="B1146" i="3"/>
  <c r="B426" i="3"/>
  <c r="B1809" i="3"/>
  <c r="B777" i="3"/>
  <c r="B139" i="3"/>
  <c r="B1421" i="3"/>
  <c r="B714" i="3"/>
  <c r="B917" i="3"/>
  <c r="B287" i="3"/>
  <c r="B1440" i="3"/>
  <c r="B149" i="3"/>
  <c r="B1614" i="3"/>
  <c r="B435" i="3"/>
  <c r="B283" i="3"/>
  <c r="B547" i="3"/>
  <c r="B1544" i="3"/>
  <c r="B748" i="3"/>
  <c r="B1959" i="3"/>
  <c r="B1532" i="3"/>
  <c r="B1505" i="3"/>
  <c r="B505" i="3"/>
  <c r="B2009" i="3"/>
  <c r="B946" i="3"/>
  <c r="B1140" i="3"/>
  <c r="B340" i="3"/>
  <c r="B1403" i="3"/>
  <c r="B193" i="3"/>
  <c r="B232" i="3"/>
  <c r="B332" i="3"/>
  <c r="B2025" i="3"/>
  <c r="B1466" i="3"/>
  <c r="B1030" i="3"/>
  <c r="B1588" i="3"/>
  <c r="B1829" i="3"/>
  <c r="B1078" i="3"/>
  <c r="B947" i="3"/>
  <c r="B1773" i="3"/>
  <c r="B1857" i="3"/>
  <c r="B1873" i="3"/>
  <c r="B1015" i="3"/>
  <c r="B1508" i="3"/>
  <c r="B54" i="3"/>
  <c r="B931" i="3"/>
  <c r="B299" i="3"/>
  <c r="B1074" i="3"/>
  <c r="B585" i="3"/>
  <c r="B685" i="3"/>
  <c r="B1997" i="3"/>
  <c r="B1180" i="3"/>
  <c r="B447" i="3"/>
  <c r="B526" i="3"/>
  <c r="B1033" i="3"/>
  <c r="B401" i="3"/>
  <c r="B1728" i="3"/>
  <c r="B830" i="3"/>
  <c r="B1542" i="3"/>
  <c r="B1673" i="3"/>
  <c r="B1306" i="3"/>
  <c r="B1881" i="3"/>
  <c r="B1267" i="3"/>
  <c r="B1937" i="3"/>
  <c r="B902" i="3"/>
  <c r="B1092" i="3"/>
  <c r="B1209" i="3"/>
  <c r="B1234" i="3"/>
  <c r="B5" i="3"/>
  <c r="B10" i="3"/>
  <c r="B2011" i="3"/>
  <c r="B1492" i="3"/>
  <c r="B1516" i="3"/>
  <c r="B1552" i="3"/>
  <c r="B1864" i="3"/>
  <c r="B219" i="3"/>
  <c r="B83" i="3"/>
  <c r="B1392" i="3"/>
  <c r="B1359" i="3"/>
  <c r="B197" i="3"/>
  <c r="B414" i="3"/>
  <c r="B1465" i="3"/>
  <c r="B806" i="3"/>
  <c r="B1000" i="3"/>
  <c r="B825" i="3"/>
  <c r="B1381" i="3"/>
  <c r="B1470" i="3"/>
  <c r="B111" i="3"/>
  <c r="B1510" i="3"/>
  <c r="B1449" i="3"/>
  <c r="B397" i="3"/>
  <c r="B1383" i="3"/>
  <c r="B213" i="3"/>
  <c r="B1684" i="3"/>
  <c r="B723" i="3"/>
  <c r="B1066" i="3"/>
  <c r="B356" i="3"/>
  <c r="B103" i="3"/>
  <c r="B476" i="3"/>
  <c r="B2024" i="3"/>
  <c r="B1206" i="3"/>
  <c r="B1369" i="3"/>
  <c r="B100" i="3"/>
  <c r="B721" i="3"/>
  <c r="B501" i="3"/>
  <c r="B320" i="3"/>
  <c r="B1386" i="3"/>
  <c r="B1534" i="3"/>
  <c r="B1817" i="3"/>
  <c r="B1601" i="3"/>
  <c r="B982" i="3"/>
  <c r="B173" i="3"/>
  <c r="B1698" i="3"/>
  <c r="B788" i="3"/>
  <c r="B764" i="3"/>
  <c r="B1111" i="3"/>
  <c r="B233" i="3"/>
  <c r="B767" i="3"/>
  <c r="B837" i="3"/>
  <c r="B518" i="3"/>
  <c r="B1592" i="3"/>
  <c r="B1835" i="3"/>
  <c r="B1497" i="3"/>
  <c r="B2002" i="3"/>
  <c r="B627" i="3"/>
  <c r="B1319" i="3"/>
  <c r="B1060" i="3"/>
  <c r="B781" i="3"/>
  <c r="B119" i="3"/>
  <c r="B1931" i="3"/>
  <c r="B245" i="3"/>
  <c r="B462" i="3"/>
  <c r="B1411" i="3"/>
  <c r="B1519" i="3"/>
  <c r="B141" i="3"/>
  <c r="B1252" i="3"/>
  <c r="B130" i="3"/>
  <c r="B243" i="3"/>
  <c r="B1569" i="3"/>
  <c r="B601" i="3"/>
  <c r="B160" i="3"/>
  <c r="B835" i="3"/>
  <c r="B442" i="3"/>
  <c r="B1023" i="3"/>
  <c r="B385" i="3"/>
  <c r="B304" i="3"/>
  <c r="B1770" i="3"/>
  <c r="B4" i="3"/>
  <c r="B3" i="3"/>
  <c r="K75" i="3" l="1"/>
  <c r="J75" i="3"/>
  <c r="K79" i="3"/>
  <c r="I64" i="3"/>
  <c r="K58" i="3"/>
  <c r="K77" i="3"/>
  <c r="J57" i="3"/>
  <c r="K60" i="3"/>
  <c r="K69" i="3"/>
  <c r="I72" i="3"/>
  <c r="I73" i="3"/>
  <c r="K61" i="3"/>
  <c r="J58" i="3"/>
  <c r="J56" i="3"/>
  <c r="K59" i="3"/>
  <c r="J68" i="3"/>
  <c r="I65" i="3"/>
  <c r="I62" i="3"/>
  <c r="I56" i="3"/>
  <c r="J60" i="3"/>
  <c r="J71" i="3"/>
  <c r="K68" i="3"/>
  <c r="K70" i="3"/>
  <c r="K66" i="3"/>
  <c r="I66" i="3"/>
  <c r="I55" i="3"/>
  <c r="J67" i="3"/>
  <c r="I76" i="3"/>
  <c r="K71" i="3"/>
  <c r="K62" i="3"/>
  <c r="J59" i="3"/>
  <c r="I68" i="3"/>
  <c r="I79" i="3"/>
  <c r="I59" i="3"/>
  <c r="J69" i="3"/>
  <c r="K63" i="3"/>
  <c r="K73" i="3"/>
  <c r="I77" i="3"/>
  <c r="I75" i="3"/>
  <c r="J78" i="3"/>
  <c r="J79" i="3"/>
  <c r="I69" i="3"/>
  <c r="I67" i="3"/>
  <c r="J70" i="3"/>
  <c r="K57" i="3"/>
  <c r="K74" i="3"/>
  <c r="J61" i="3"/>
  <c r="K55" i="3"/>
  <c r="J77" i="3"/>
  <c r="I57" i="3"/>
  <c r="I58" i="3"/>
  <c r="K76" i="3"/>
  <c r="J64" i="3"/>
  <c r="I78" i="3"/>
  <c r="J65" i="3"/>
  <c r="I70" i="3"/>
  <c r="K78" i="3"/>
  <c r="I74" i="3"/>
  <c r="I60" i="3"/>
  <c r="J63" i="3"/>
  <c r="K72" i="3"/>
  <c r="K64" i="3"/>
  <c r="K65" i="3"/>
  <c r="J55" i="3"/>
  <c r="J76" i="3"/>
  <c r="K56" i="3"/>
  <c r="K67" i="3"/>
  <c r="J62" i="3"/>
  <c r="I71" i="3"/>
  <c r="J74" i="3"/>
  <c r="J72" i="3"/>
  <c r="J73" i="3"/>
  <c r="I63" i="3"/>
  <c r="J66" i="3"/>
  <c r="I61" i="3"/>
</calcChain>
</file>

<file path=xl/sharedStrings.xml><?xml version="1.0" encoding="utf-8"?>
<sst xmlns="http://schemas.openxmlformats.org/spreadsheetml/2006/main" count="4332" uniqueCount="3977">
  <si>
    <t>follow</t>
    <phoneticPr fontId="2"/>
  </si>
  <si>
    <t>～の後に続く、～に従う</t>
  </si>
  <si>
    <t>はじめ</t>
    <phoneticPr fontId="2"/>
  </si>
  <si>
    <t>正</t>
    <rPh sb="0" eb="1">
      <t>タダ</t>
    </rPh>
    <phoneticPr fontId="2"/>
  </si>
  <si>
    <t>誤</t>
    <rPh sb="0" eb="1">
      <t>ゴ</t>
    </rPh>
    <phoneticPr fontId="2"/>
  </si>
  <si>
    <t>期限</t>
    <rPh sb="0" eb="2">
      <t>キゲン</t>
    </rPh>
    <phoneticPr fontId="2"/>
  </si>
  <si>
    <t>正解ゾーン</t>
    <rPh sb="0" eb="2">
      <t>セイカイ</t>
    </rPh>
    <phoneticPr fontId="2"/>
  </si>
  <si>
    <t>consider</t>
  </si>
  <si>
    <t>～を考慮する</t>
  </si>
  <si>
    <t>おわり</t>
    <phoneticPr fontId="2"/>
  </si>
  <si>
    <t>(1)</t>
    <phoneticPr fontId="2"/>
  </si>
  <si>
    <t>カウント</t>
    <phoneticPr fontId="2"/>
  </si>
  <si>
    <t>increase</t>
  </si>
  <si>
    <t>増える、～を増やす</t>
  </si>
  <si>
    <t>参照1</t>
    <rPh sb="0" eb="2">
      <t>サンショウ</t>
    </rPh>
    <phoneticPr fontId="2"/>
  </si>
  <si>
    <t>(2)</t>
    <phoneticPr fontId="2"/>
  </si>
  <si>
    <t>expect</t>
  </si>
  <si>
    <t>～を予期する</t>
  </si>
  <si>
    <t>参照2</t>
    <rPh sb="0" eb="2">
      <t>サンショウ</t>
    </rPh>
    <phoneticPr fontId="2"/>
  </si>
  <si>
    <t>(3)</t>
  </si>
  <si>
    <t>decide</t>
  </si>
  <si>
    <t>～することを決意する</t>
  </si>
  <si>
    <t>(4)</t>
    <phoneticPr fontId="2"/>
  </si>
  <si>
    <t>develop</t>
  </si>
  <si>
    <t>発達する、～を発達させる</t>
  </si>
  <si>
    <t>(5)</t>
  </si>
  <si>
    <t>provide</t>
  </si>
  <si>
    <t>～を供給する、与える</t>
  </si>
  <si>
    <t>(6)</t>
  </si>
  <si>
    <t>continue</t>
  </si>
  <si>
    <t>続く、～を続ける</t>
  </si>
  <si>
    <t>(7)</t>
  </si>
  <si>
    <t>include</t>
  </si>
  <si>
    <t>～を含む、含める</t>
  </si>
  <si>
    <t>(8)</t>
  </si>
  <si>
    <t>remain</t>
  </si>
  <si>
    <t>ままでいる</t>
  </si>
  <si>
    <t>(9)</t>
  </si>
  <si>
    <t>reach</t>
  </si>
  <si>
    <t>～に着く、～に達する</t>
  </si>
  <si>
    <t>テスト回数</t>
    <rPh sb="3" eb="5">
      <t>カイスウ</t>
    </rPh>
    <phoneticPr fontId="2"/>
  </si>
  <si>
    <t>(10)</t>
  </si>
  <si>
    <t>allow</t>
  </si>
  <si>
    <t>～を許可する</t>
  </si>
  <si>
    <t>(11)</t>
  </si>
  <si>
    <t>force</t>
  </si>
  <si>
    <t>～を強制する</t>
  </si>
  <si>
    <t>(12)</t>
  </si>
  <si>
    <t>offer</t>
  </si>
  <si>
    <t>～を申し出る</t>
  </si>
  <si>
    <t>(13)</t>
  </si>
  <si>
    <t>realize</t>
  </si>
  <si>
    <t>～を悟る</t>
  </si>
  <si>
    <t>(14)</t>
  </si>
  <si>
    <t>suggest</t>
  </si>
  <si>
    <t>～と提案する、～をほのめかす</t>
  </si>
  <si>
    <t>(15)</t>
  </si>
  <si>
    <t>require</t>
  </si>
  <si>
    <t>～を必要とする</t>
  </si>
  <si>
    <t>(16)</t>
  </si>
  <si>
    <t>worry</t>
  </si>
  <si>
    <t>心配する</t>
  </si>
  <si>
    <t>(17)</t>
  </si>
  <si>
    <t>wonder</t>
  </si>
  <si>
    <t>～かと疑問に思う</t>
  </si>
  <si>
    <t>(18)</t>
  </si>
  <si>
    <t>cost</t>
  </si>
  <si>
    <t>～を要する</t>
  </si>
  <si>
    <t>(19)</t>
  </si>
  <si>
    <t>tend</t>
  </si>
  <si>
    <t>～する傾向がある、～しがちである</t>
  </si>
  <si>
    <t>(20)</t>
  </si>
  <si>
    <t>depend</t>
  </si>
  <si>
    <t>～に依存する、～しだいで決まる</t>
  </si>
  <si>
    <t>(21)</t>
  </si>
  <si>
    <t>share</t>
  </si>
  <si>
    <t>～を分け合う、共有する</t>
    <phoneticPr fontId="2"/>
  </si>
  <si>
    <t>(22)</t>
  </si>
  <si>
    <t>demand</t>
  </si>
  <si>
    <t>～を要求する</t>
  </si>
  <si>
    <t>(23)</t>
  </si>
  <si>
    <t>support</t>
  </si>
  <si>
    <t>～を支持する</t>
  </si>
  <si>
    <t>(24)</t>
  </si>
  <si>
    <t>hire</t>
  </si>
  <si>
    <t>～を雇う</t>
  </si>
  <si>
    <t>直間テスト</t>
    <rPh sb="0" eb="1">
      <t>チョク</t>
    </rPh>
    <rPh sb="1" eb="2">
      <t>マ</t>
    </rPh>
    <phoneticPr fontId="2"/>
  </si>
  <si>
    <t>(25)</t>
  </si>
  <si>
    <t>regard</t>
  </si>
  <si>
    <t>AをBだと思う、みなす</t>
  </si>
  <si>
    <t>base</t>
  </si>
  <si>
    <t>AがBに基づいている</t>
  </si>
  <si>
    <t>improve</t>
  </si>
  <si>
    <t>～を向上させる</t>
  </si>
  <si>
    <t>recognize</t>
  </si>
  <si>
    <t>～を認める</t>
  </si>
  <si>
    <t>notice</t>
  </si>
  <si>
    <t>～に気づく</t>
  </si>
  <si>
    <t>suppose</t>
  </si>
  <si>
    <t>～だと思う</t>
  </si>
  <si>
    <t>raise</t>
  </si>
  <si>
    <t>～を上げる、～を育てる</t>
  </si>
  <si>
    <t>prefer</t>
  </si>
  <si>
    <t>～をより好む</t>
  </si>
  <si>
    <t>cheer</t>
  </si>
  <si>
    <t>～を励ます</t>
  </si>
  <si>
    <t>suffer</t>
  </si>
  <si>
    <t>～を経験する、受ける、苦しむ</t>
  </si>
  <si>
    <t>describe</t>
  </si>
  <si>
    <t>～を描写する、～の特徴を説明する</t>
  </si>
  <si>
    <t>prevent</t>
  </si>
  <si>
    <t>～をさまたげる</t>
  </si>
  <si>
    <t>reduce</t>
  </si>
  <si>
    <t>～を減らす</t>
  </si>
  <si>
    <t>mistake</t>
  </si>
  <si>
    <t>～を誤解する、まちがえる</t>
  </si>
  <si>
    <t>prepare</t>
  </si>
  <si>
    <t>～の準備をする</t>
  </si>
  <si>
    <t>encourage</t>
  </si>
  <si>
    <t>はげます</t>
  </si>
  <si>
    <t>prove</t>
  </si>
  <si>
    <t>～だとわかる</t>
  </si>
  <si>
    <t>treat</t>
  </si>
  <si>
    <t>～をあつかう</t>
  </si>
  <si>
    <t>establish</t>
  </si>
  <si>
    <t>～を設立する、創立する</t>
  </si>
  <si>
    <t>relate</t>
  </si>
  <si>
    <t>関係がある</t>
  </si>
  <si>
    <t>compare</t>
  </si>
  <si>
    <t>～を比較する、～をたとえる</t>
  </si>
  <si>
    <t>spread</t>
  </si>
  <si>
    <t>～を広げる；広がる</t>
  </si>
  <si>
    <t>refer</t>
  </si>
  <si>
    <t>～を指示する</t>
  </si>
  <si>
    <t>supply</t>
  </si>
  <si>
    <t>～を供給する</t>
  </si>
  <si>
    <t>gain</t>
  </si>
  <si>
    <t>～を得る</t>
  </si>
  <si>
    <t>destroy</t>
  </si>
  <si>
    <t>～を破壊する</t>
  </si>
  <si>
    <t>apply</t>
  </si>
  <si>
    <t>当てはまる、申し込む</t>
  </si>
  <si>
    <t>seek</t>
  </si>
  <si>
    <t>～を求める</t>
  </si>
  <si>
    <t>search</t>
  </si>
  <si>
    <t>～を捜す</t>
  </si>
  <si>
    <t>claim</t>
  </si>
  <si>
    <t>～と主張する</t>
  </si>
  <si>
    <t>draw</t>
  </si>
  <si>
    <t>～を引っぱる</t>
  </si>
  <si>
    <t>refuse</t>
  </si>
  <si>
    <t>～を断る</t>
  </si>
  <si>
    <t>respond</t>
  </si>
  <si>
    <t>～に返答する</t>
  </si>
  <si>
    <t>mention</t>
  </si>
  <si>
    <t>～について述べる</t>
  </si>
  <si>
    <t>judge</t>
  </si>
  <si>
    <t>～を判断する</t>
  </si>
  <si>
    <t>approach</t>
  </si>
  <si>
    <t>～に接近する；～に取り組む；方法</t>
  </si>
  <si>
    <t>admit</t>
  </si>
  <si>
    <t>reflect</t>
  </si>
  <si>
    <t>～を反映する、～を反射する</t>
  </si>
  <si>
    <t>perform</t>
  </si>
  <si>
    <t>～を行う、～を遂行する</t>
  </si>
  <si>
    <t>bore</t>
  </si>
  <si>
    <t>～をうんざりさせる</t>
  </si>
  <si>
    <t>survive</t>
  </si>
  <si>
    <t>生き残る</t>
  </si>
  <si>
    <t>represent</t>
  </si>
  <si>
    <t>～を表す</t>
  </si>
  <si>
    <t>argue</t>
  </si>
  <si>
    <t>grant</t>
  </si>
  <si>
    <t>～を認める、～を与える</t>
  </si>
  <si>
    <t>indicate</t>
  </si>
  <si>
    <t>～を指し示す</t>
  </si>
  <si>
    <t>belong</t>
  </si>
  <si>
    <t>所属している</t>
  </si>
  <si>
    <t>acquire</t>
  </si>
  <si>
    <t>～を習得する</t>
  </si>
  <si>
    <t>reply</t>
  </si>
  <si>
    <t>返事をする</t>
  </si>
  <si>
    <t>feed</t>
  </si>
  <si>
    <t>～にエサをやる</t>
  </si>
  <si>
    <t>escape</t>
  </si>
  <si>
    <t>逃げる</t>
  </si>
  <si>
    <t>replace</t>
  </si>
  <si>
    <t>～に取って代わる、～を取り替える</t>
  </si>
  <si>
    <t>reveal</t>
  </si>
  <si>
    <t>～を明らかにする</t>
  </si>
  <si>
    <t>surround</t>
  </si>
  <si>
    <t>～を取り囲む</t>
  </si>
  <si>
    <t>suit</t>
  </si>
  <si>
    <t>～に合う</t>
  </si>
  <si>
    <t>estimate</t>
  </si>
  <si>
    <t>～を推定する</t>
  </si>
  <si>
    <t>aim</t>
  </si>
  <si>
    <t>～をねらう</t>
  </si>
  <si>
    <t>earn</t>
  </si>
  <si>
    <t>～をもうける、かせぐ</t>
  </si>
  <si>
    <t>decline</t>
  </si>
  <si>
    <t>衰退する、低下する、～を辞退する</t>
  </si>
  <si>
    <t>afford</t>
  </si>
  <si>
    <t>～をする余裕がある</t>
  </si>
  <si>
    <t>confuse</t>
  </si>
  <si>
    <t>～を当惑させる</t>
  </si>
  <si>
    <t>graduate</t>
  </si>
  <si>
    <t>～を卒業する</t>
  </si>
  <si>
    <t>vary</t>
  </si>
  <si>
    <t>変わる、さまざまである</t>
  </si>
  <si>
    <t>remove</t>
  </si>
  <si>
    <t>～を移す、取り去る</t>
  </si>
  <si>
    <t>insist</t>
  </si>
  <si>
    <t>～と主張する、言い張る</t>
  </si>
  <si>
    <t>examine</t>
  </si>
  <si>
    <t>～を調査する</t>
  </si>
  <si>
    <t>remind</t>
  </si>
  <si>
    <t>ＡにＢを思い出させる</t>
  </si>
  <si>
    <t>contribute</t>
  </si>
  <si>
    <t>～に貢献する、～の一因となる、AをBに寄付する</t>
  </si>
  <si>
    <t>warn</t>
  </si>
  <si>
    <t>～に警告する</t>
  </si>
  <si>
    <t>connect</t>
  </si>
  <si>
    <t>～をつなぐ</t>
  </si>
  <si>
    <t>match</t>
  </si>
  <si>
    <t>～に匹敵する、～に調和する</t>
  </si>
  <si>
    <t>focus</t>
  </si>
  <si>
    <t>焦点を合わせる</t>
  </si>
  <si>
    <t>reject</t>
  </si>
  <si>
    <t>convince</t>
  </si>
  <si>
    <t>～を納得させる、確信させる</t>
  </si>
  <si>
    <t>associate</t>
  </si>
  <si>
    <t>AをBに関連づける、AからBを連想する</t>
  </si>
  <si>
    <t>rush</t>
  </si>
  <si>
    <t>急いで行く</t>
  </si>
  <si>
    <t>stress</t>
  </si>
  <si>
    <t>～を強調する</t>
  </si>
  <si>
    <t>attract</t>
  </si>
  <si>
    <t>～を引きつける</t>
  </si>
  <si>
    <t>rely</t>
  </si>
  <si>
    <t>Aに頼る</t>
  </si>
  <si>
    <t>regret</t>
  </si>
  <si>
    <t>～を後悔する</t>
  </si>
  <si>
    <t>adopt</t>
  </si>
  <si>
    <t>～を採用する</t>
  </si>
  <si>
    <t>shake</t>
  </si>
  <si>
    <t>～を振る</t>
  </si>
  <si>
    <t>hurt</t>
  </si>
  <si>
    <t>～を傷つける</t>
  </si>
  <si>
    <t>operate</t>
  </si>
  <si>
    <t>作動する、～を操作する、手術する</t>
  </si>
  <si>
    <t>extend</t>
  </si>
  <si>
    <t>～を広げる、延長する</t>
  </si>
  <si>
    <t>blame</t>
  </si>
  <si>
    <t>～を非難する、～のせいにする</t>
  </si>
  <si>
    <t>consist</t>
  </si>
  <si>
    <t>Aで構成されている</t>
  </si>
  <si>
    <t>persuade</t>
  </si>
  <si>
    <t>～を説得する</t>
  </si>
  <si>
    <t>admire</t>
  </si>
  <si>
    <t>～に感心する</t>
  </si>
  <si>
    <t>disappoint</t>
  </si>
  <si>
    <t>～を失望させる</t>
  </si>
  <si>
    <t>expand</t>
  </si>
  <si>
    <t>拡大する</t>
  </si>
  <si>
    <t>preserve</t>
  </si>
  <si>
    <t>～を保護する</t>
  </si>
  <si>
    <t>struggle</t>
  </si>
  <si>
    <t>苦闘する、もがく</t>
  </si>
  <si>
    <t>arrange</t>
  </si>
  <si>
    <t>～の手はずを整える、～を配列する</t>
  </si>
  <si>
    <t>disturb</t>
  </si>
  <si>
    <t>～を妨げる</t>
  </si>
  <si>
    <t>employ</t>
  </si>
  <si>
    <t>～を雇う、～を用いる</t>
  </si>
  <si>
    <t>engage</t>
  </si>
  <si>
    <t>Aに従事する、Aを行う</t>
  </si>
  <si>
    <t>abandon</t>
  </si>
  <si>
    <t>～を捨てる</t>
  </si>
  <si>
    <t>display</t>
  </si>
  <si>
    <t>～を展示する、～を表す</t>
  </si>
  <si>
    <t>encounter</t>
  </si>
  <si>
    <t>～に偶然出会う</t>
  </si>
  <si>
    <t>amuse</t>
  </si>
  <si>
    <t>～を楽しませる</t>
  </si>
  <si>
    <t>bother</t>
  </si>
  <si>
    <t>～に面倒をかける、困らせる</t>
  </si>
  <si>
    <t>concentrate</t>
  </si>
  <si>
    <t>集中する</t>
  </si>
  <si>
    <t>adapt</t>
  </si>
  <si>
    <t>～を適応させる、適応する</t>
  </si>
  <si>
    <t>puzzle</t>
  </si>
  <si>
    <t>appeal</t>
  </si>
  <si>
    <t>Aに訴える、～を引きつける</t>
  </si>
  <si>
    <t>combine</t>
  </si>
  <si>
    <t>～を結合させる</t>
  </si>
  <si>
    <t>delay</t>
  </si>
  <si>
    <t>～を遅らせる</t>
  </si>
  <si>
    <t>repair</t>
  </si>
  <si>
    <t>～を修理する</t>
  </si>
  <si>
    <t>fascinate</t>
  </si>
  <si>
    <t>～を夢中にさせる</t>
  </si>
  <si>
    <t>Pardon</t>
  </si>
  <si>
    <t>～を許す</t>
  </si>
  <si>
    <t>import</t>
  </si>
  <si>
    <t>～を輸入する</t>
  </si>
  <si>
    <t>remark</t>
  </si>
  <si>
    <t>述べる</t>
  </si>
  <si>
    <t>reserve</t>
  </si>
  <si>
    <t>～を予約する、～を取っておく</t>
  </si>
  <si>
    <t>amaze</t>
  </si>
  <si>
    <t>～を驚嘆させる</t>
  </si>
  <si>
    <t>frighten</t>
  </si>
  <si>
    <t>～をおびえさせる</t>
  </si>
  <si>
    <t>release</t>
  </si>
  <si>
    <t>～を解放する、～を発表する</t>
  </si>
  <si>
    <t>rent</t>
  </si>
  <si>
    <t>～を賃借りする</t>
  </si>
  <si>
    <t>recover</t>
  </si>
  <si>
    <t>Aから回復する</t>
  </si>
  <si>
    <t>suspect</t>
  </si>
  <si>
    <t>～ではないかと思う、～を疑う</t>
  </si>
  <si>
    <t>deliver</t>
  </si>
  <si>
    <t>～を配達する、渡す、～をする</t>
  </si>
  <si>
    <t>identify</t>
  </si>
  <si>
    <t>～の正体をつきとめる、Aと共感する</t>
  </si>
  <si>
    <t>locate</t>
  </si>
  <si>
    <t>位置する</t>
  </si>
  <si>
    <t>manufacture</t>
  </si>
  <si>
    <t>～を製造する</t>
  </si>
  <si>
    <t>occupy</t>
  </si>
  <si>
    <t>～を占める</t>
  </si>
  <si>
    <t>own</t>
  </si>
  <si>
    <t>～を所有している</t>
  </si>
  <si>
    <t>expose</t>
  </si>
  <si>
    <t>ＡをＢにさらす</t>
  </si>
  <si>
    <t>translate</t>
  </si>
  <si>
    <t>～を翻訳する</t>
  </si>
  <si>
    <t>cure</t>
  </si>
  <si>
    <t>～を治療する</t>
  </si>
  <si>
    <t>perceive</t>
  </si>
  <si>
    <t>～を知覚する</t>
  </si>
  <si>
    <t>adjust</t>
  </si>
  <si>
    <t>～に慣れる、調節して合わせる</t>
  </si>
  <si>
    <t>alarm</t>
  </si>
  <si>
    <t>～をぎょっとさせる、おびえさせる</t>
  </si>
  <si>
    <t>assist</t>
  </si>
  <si>
    <t>～を助ける、～を手伝う</t>
  </si>
  <si>
    <t>freeze</t>
  </si>
  <si>
    <t>凍りつく</t>
  </si>
  <si>
    <t>spoil</t>
  </si>
  <si>
    <t>～を台無しにする</t>
  </si>
  <si>
    <t>shift</t>
  </si>
  <si>
    <t>～を変える</t>
  </si>
  <si>
    <t>embarrass</t>
  </si>
  <si>
    <t>～を困惑させる、～に恥ずかしい思いをさせる</t>
  </si>
  <si>
    <t>approve</t>
  </si>
  <si>
    <t>賛成する；～を承認する</t>
  </si>
  <si>
    <t>weigh</t>
  </si>
  <si>
    <t>～の重さがある、～を比較検討する、よく考える</t>
  </si>
  <si>
    <t>stretch</t>
  </si>
  <si>
    <t>～を広げる</t>
  </si>
  <si>
    <t>participate</t>
  </si>
  <si>
    <t>Aに参加する</t>
  </si>
  <si>
    <t>exhibit</t>
  </si>
  <si>
    <t>～を展示する</t>
  </si>
  <si>
    <t>owe</t>
  </si>
  <si>
    <t>AのことはBのおかげだ</t>
  </si>
  <si>
    <t>celebrate</t>
  </si>
  <si>
    <t>～を祝う</t>
  </si>
  <si>
    <t>decorate</t>
  </si>
  <si>
    <t>～を装飾する</t>
  </si>
  <si>
    <t>forgive</t>
  </si>
  <si>
    <t>seat</t>
  </si>
  <si>
    <t>座っている</t>
  </si>
  <si>
    <t>injure</t>
  </si>
  <si>
    <t>sew</t>
  </si>
  <si>
    <t>～を縫う</t>
  </si>
  <si>
    <t>result</t>
  </si>
  <si>
    <t>結果</t>
  </si>
  <si>
    <t>feature</t>
  </si>
  <si>
    <t>特徴</t>
  </si>
  <si>
    <t>society</t>
  </si>
  <si>
    <t>社会、協会、団体</t>
  </si>
  <si>
    <t>wheel</t>
  </si>
  <si>
    <t>車輪、ハンドル</t>
  </si>
  <si>
    <t>value</t>
  </si>
  <si>
    <t>価値</t>
  </si>
  <si>
    <t>effect</t>
  </si>
  <si>
    <t>効果、影響、結果</t>
  </si>
  <si>
    <t>individual</t>
  </si>
  <si>
    <t>個人</t>
  </si>
  <si>
    <t>influence</t>
  </si>
  <si>
    <t>影響</t>
  </si>
  <si>
    <t>fee</t>
  </si>
  <si>
    <t>謝礼、料金</t>
  </si>
  <si>
    <t>rate</t>
  </si>
  <si>
    <t>割合、速度</t>
  </si>
  <si>
    <t>sign</t>
  </si>
  <si>
    <t>印、兆候</t>
  </si>
  <si>
    <t>service</t>
  </si>
  <si>
    <t>公共事業、業務</t>
  </si>
  <si>
    <t>advance</t>
  </si>
  <si>
    <t>前進、進歩</t>
  </si>
  <si>
    <t>laughter</t>
  </si>
  <si>
    <t>笑い</t>
  </si>
  <si>
    <t>material</t>
  </si>
  <si>
    <t>物質</t>
  </si>
  <si>
    <t>industry</t>
  </si>
  <si>
    <t>工業</t>
  </si>
  <si>
    <t>attempt</t>
  </si>
  <si>
    <t>試み</t>
  </si>
  <si>
    <t>trade</t>
  </si>
  <si>
    <t>貿易</t>
  </si>
  <si>
    <t>progress</t>
  </si>
  <si>
    <t>進歩、前進</t>
  </si>
  <si>
    <t>excuse</t>
  </si>
  <si>
    <t>言い訳</t>
  </si>
  <si>
    <t>custom</t>
  </si>
  <si>
    <t>習慣、税関</t>
  </si>
  <si>
    <t>passage</t>
  </si>
  <si>
    <t>一節、経過、通行</t>
  </si>
  <si>
    <t>economy</t>
  </si>
  <si>
    <t>経済</t>
  </si>
  <si>
    <t>track</t>
  </si>
  <si>
    <t>小道、足跡</t>
  </si>
  <si>
    <t>transportation</t>
  </si>
  <si>
    <t>交通機関、輸送</t>
  </si>
  <si>
    <t>official</t>
  </si>
  <si>
    <t>役人</t>
  </si>
  <si>
    <t>sight</t>
  </si>
  <si>
    <t>見ること、光景、視力</t>
  </si>
  <si>
    <t>taste</t>
  </si>
  <si>
    <t>味、好み</t>
  </si>
  <si>
    <t>range</t>
  </si>
  <si>
    <t>範囲</t>
  </si>
  <si>
    <t>appointment</t>
  </si>
  <si>
    <t>約束、予約</t>
  </si>
  <si>
    <t>patient</t>
  </si>
  <si>
    <t>患者、忍耐強い</t>
  </si>
  <si>
    <t>project</t>
  </si>
  <si>
    <t>計画</t>
  </si>
  <si>
    <t>favor</t>
  </si>
  <si>
    <t>好意</t>
  </si>
  <si>
    <t>appearance</t>
  </si>
  <si>
    <t>外見、様子、出現</t>
  </si>
  <si>
    <t>risk</t>
  </si>
  <si>
    <t>危険</t>
  </si>
  <si>
    <t>benefit</t>
  </si>
  <si>
    <t>利益</t>
  </si>
  <si>
    <t>resident</t>
  </si>
  <si>
    <t>住民</t>
  </si>
  <si>
    <t>relative</t>
  </si>
  <si>
    <t>親族、親戚</t>
  </si>
  <si>
    <t>region</t>
  </si>
  <si>
    <t>地域</t>
  </si>
  <si>
    <t>characteristic</t>
  </si>
  <si>
    <t>pain</t>
  </si>
  <si>
    <t>苦痛</t>
  </si>
  <si>
    <t>twin</t>
  </si>
  <si>
    <t>双子の一方、双生児</t>
  </si>
  <si>
    <t>occasion</t>
  </si>
  <si>
    <t>場合、機会</t>
  </si>
  <si>
    <t>principle</t>
  </si>
  <si>
    <t>原理、原則</t>
  </si>
  <si>
    <t>department</t>
  </si>
  <si>
    <t>部門、学科</t>
  </si>
  <si>
    <t>duty</t>
  </si>
  <si>
    <t>義務、関税</t>
  </si>
  <si>
    <t>scene</t>
  </si>
  <si>
    <t>場面、現場</t>
  </si>
  <si>
    <t>jam</t>
  </si>
  <si>
    <t>渋滞</t>
  </si>
  <si>
    <t>spirit</t>
  </si>
  <si>
    <t>精神</t>
  </si>
  <si>
    <t>medium</t>
  </si>
  <si>
    <t>手段</t>
  </si>
  <si>
    <t>mass</t>
  </si>
  <si>
    <t>一般大衆、多くの</t>
  </si>
  <si>
    <t>audience</t>
  </si>
  <si>
    <t>聴衆、観客</t>
  </si>
  <si>
    <t>element</t>
  </si>
  <si>
    <t>要素、元素</t>
  </si>
  <si>
    <t>climate</t>
  </si>
  <si>
    <t>気候</t>
  </si>
  <si>
    <t>revolution</t>
  </si>
  <si>
    <t>革命</t>
  </si>
  <si>
    <t>quarter</t>
  </si>
  <si>
    <t>4分の1</t>
  </si>
  <si>
    <t>furniture</t>
  </si>
  <si>
    <t>家具</t>
  </si>
  <si>
    <t>brain</t>
  </si>
  <si>
    <t>脳</t>
  </si>
  <si>
    <t>atmosphere</t>
  </si>
  <si>
    <t>大気、雰囲気</t>
  </si>
  <si>
    <t>property</t>
  </si>
  <si>
    <t>財産</t>
  </si>
  <si>
    <t>reward</t>
  </si>
  <si>
    <t>報酬</t>
  </si>
  <si>
    <t>security</t>
  </si>
  <si>
    <t>安全</t>
  </si>
  <si>
    <t>delight</t>
  </si>
  <si>
    <t>大喜び</t>
  </si>
  <si>
    <t>desert</t>
  </si>
  <si>
    <t>砂漠</t>
  </si>
  <si>
    <t>background</t>
  </si>
  <si>
    <t>背景、生い立ち、経歴</t>
  </si>
  <si>
    <t>trend</t>
  </si>
  <si>
    <t>傾向</t>
  </si>
  <si>
    <t>vote</t>
  </si>
  <si>
    <t>投票</t>
  </si>
  <si>
    <t>impact</t>
  </si>
  <si>
    <t>影響、衝撃</t>
  </si>
  <si>
    <t>institution</t>
  </si>
  <si>
    <t>機関、制度</t>
  </si>
  <si>
    <t>interaction</t>
  </si>
  <si>
    <t>交流</t>
  </si>
  <si>
    <t>alternative</t>
  </si>
  <si>
    <t>代わりのもの</t>
  </si>
  <si>
    <t>harm</t>
  </si>
  <si>
    <t>害</t>
  </si>
  <si>
    <t>agency</t>
  </si>
  <si>
    <t>機関、代理店</t>
  </si>
  <si>
    <t>capacity</t>
  </si>
  <si>
    <t>能力</t>
  </si>
  <si>
    <t>minister</t>
  </si>
  <si>
    <t>大臣</t>
  </si>
  <si>
    <t>volunteer</t>
  </si>
  <si>
    <t>ボランティア</t>
  </si>
  <si>
    <t>access</t>
  </si>
  <si>
    <t>利用する権利</t>
  </si>
  <si>
    <t>quantity</t>
  </si>
  <si>
    <t>量</t>
  </si>
  <si>
    <t>branch</t>
  </si>
  <si>
    <t>枝、支店、支局、部門、分野</t>
  </si>
  <si>
    <t>common</t>
  </si>
  <si>
    <t>共通の、普通の</t>
  </si>
  <si>
    <t>rough</t>
  </si>
  <si>
    <t>荒い、大雑把な</t>
  </si>
  <si>
    <t>likely</t>
  </si>
  <si>
    <t>ありそうな、～する可能性が高い</t>
  </si>
  <si>
    <t>serious</t>
  </si>
  <si>
    <t>深刻な</t>
  </si>
  <si>
    <t>particular</t>
  </si>
  <si>
    <t>ある特定の、特有の</t>
  </si>
  <si>
    <t>available</t>
  </si>
  <si>
    <t>手に入る、利用できる</t>
  </si>
  <si>
    <t>bilingual</t>
  </si>
  <si>
    <t>二言語使用の</t>
  </si>
  <si>
    <t>ready</t>
  </si>
  <si>
    <t>用意ができた</t>
  </si>
  <si>
    <t>correct</t>
  </si>
  <si>
    <t>正しい</t>
  </si>
  <si>
    <t>familiar</t>
  </si>
  <si>
    <t>熟知している、くわしい</t>
  </si>
  <si>
    <t>physical</t>
  </si>
  <si>
    <t>身体の、肉体の</t>
  </si>
  <si>
    <t>worth</t>
  </si>
  <si>
    <t>～の価値がある</t>
  </si>
  <si>
    <t>involved</t>
  </si>
  <si>
    <t>～に関係している、参加している</t>
  </si>
  <si>
    <t>fantastic</t>
  </si>
  <si>
    <t>すばらしい</t>
  </si>
  <si>
    <t>private</t>
  </si>
  <si>
    <t>個人の、私的な</t>
  </si>
  <si>
    <t>obvious</t>
  </si>
  <si>
    <t>明白な</t>
  </si>
  <si>
    <t>native</t>
  </si>
  <si>
    <t>母国の</t>
  </si>
  <si>
    <t>complex</t>
  </si>
  <si>
    <t>複雑な</t>
  </si>
  <si>
    <t>willing</t>
  </si>
  <si>
    <t>～する気がある、～してもかまわない</t>
  </si>
  <si>
    <t>current</t>
  </si>
  <si>
    <t>最新の</t>
  </si>
  <si>
    <t>male</t>
  </si>
  <si>
    <t>男の</t>
  </si>
  <si>
    <t>proper</t>
  </si>
  <si>
    <t>適切な</t>
  </si>
  <si>
    <t>capable</t>
  </si>
  <si>
    <t>～する能力がある</t>
  </si>
  <si>
    <t>independent</t>
  </si>
  <si>
    <t>独立した</t>
  </si>
  <si>
    <t>positive</t>
  </si>
  <si>
    <t>積極的な</t>
  </si>
  <si>
    <t>pleasant</t>
  </si>
  <si>
    <t>楽しい</t>
  </si>
  <si>
    <t>significant</t>
  </si>
  <si>
    <t>重要な</t>
  </si>
  <si>
    <t>former</t>
  </si>
  <si>
    <t>前の</t>
  </si>
  <si>
    <t>chemical</t>
  </si>
  <si>
    <t>化学的な</t>
  </si>
  <si>
    <t>upset</t>
  </si>
  <si>
    <t>動揺している</t>
  </si>
  <si>
    <t>previous</t>
  </si>
  <si>
    <t>calm</t>
  </si>
  <si>
    <t>冷静な</t>
  </si>
  <si>
    <t>specific</t>
  </si>
  <si>
    <t>特定の</t>
  </si>
  <si>
    <t>conscious</t>
  </si>
  <si>
    <t>意識している</t>
  </si>
  <si>
    <t>superior</t>
  </si>
  <si>
    <t>よりすぐれている</t>
  </si>
  <si>
    <t>efficient</t>
  </si>
  <si>
    <t>効率がいい</t>
  </si>
  <si>
    <t>fundamental</t>
  </si>
  <si>
    <t>基本的な</t>
  </si>
  <si>
    <t>narrow</t>
  </si>
  <si>
    <t>狭い</t>
  </si>
  <si>
    <t>reasonable</t>
  </si>
  <si>
    <t>理にかなった</t>
  </si>
  <si>
    <t>nervous</t>
  </si>
  <si>
    <t>神経質な、不安な</t>
  </si>
  <si>
    <t>alike</t>
  </si>
  <si>
    <t>似ている</t>
  </si>
  <si>
    <t>domestic</t>
  </si>
  <si>
    <t>家庭の、国内の</t>
  </si>
  <si>
    <t>negative</t>
  </si>
  <si>
    <t>否定の</t>
  </si>
  <si>
    <t>moral</t>
  </si>
  <si>
    <t>道徳的な</t>
  </si>
  <si>
    <t>eager</t>
  </si>
  <si>
    <t>熱望している</t>
  </si>
  <si>
    <t>remarkable</t>
  </si>
  <si>
    <t>evil</t>
  </si>
  <si>
    <t>悪い</t>
  </si>
  <si>
    <t>awake</t>
  </si>
  <si>
    <t>目を覚まして</t>
  </si>
  <si>
    <t>aged</t>
  </si>
  <si>
    <t>年老いた</t>
  </si>
  <si>
    <t>anxious</t>
  </si>
  <si>
    <t>心配して、切望して</t>
  </si>
  <si>
    <t>tough</t>
  </si>
  <si>
    <t>たくましい、骨の折れる</t>
  </si>
  <si>
    <t>nuclear</t>
  </si>
  <si>
    <t>核の、原子力の</t>
  </si>
  <si>
    <t>legal</t>
  </si>
  <si>
    <t>合法の、法律の</t>
  </si>
  <si>
    <t>curious</t>
  </si>
  <si>
    <t>好奇心の強い</t>
  </si>
  <si>
    <t>civil</t>
  </si>
  <si>
    <t>一般市民の</t>
  </si>
  <si>
    <t>recent</t>
  </si>
  <si>
    <t>最近の</t>
  </si>
  <si>
    <t>senior</t>
  </si>
  <si>
    <t>上級の、先輩の</t>
  </si>
  <si>
    <t>afterward</t>
  </si>
  <si>
    <t>その後</t>
  </si>
  <si>
    <t>nearly</t>
  </si>
  <si>
    <t>ほとんど</t>
  </si>
  <si>
    <t>therefore</t>
  </si>
  <si>
    <t>それゆえに</t>
  </si>
  <si>
    <t>exactly</t>
  </si>
  <si>
    <t>正確に</t>
  </si>
  <si>
    <t>possibly</t>
  </si>
  <si>
    <t>ひょっとすると、どうしてもVできない</t>
  </si>
  <si>
    <t>contrary</t>
  </si>
  <si>
    <t>反対に</t>
  </si>
  <si>
    <t>occasionally</t>
  </si>
  <si>
    <t>時々</t>
  </si>
  <si>
    <t>somehow</t>
  </si>
  <si>
    <t>どういうわけか、なぜか</t>
  </si>
  <si>
    <t>seldom</t>
  </si>
  <si>
    <t>めったに～ない</t>
  </si>
  <si>
    <t>thus</t>
  </si>
  <si>
    <t>それゆえ、そのように</t>
  </si>
  <si>
    <t>throughout</t>
  </si>
  <si>
    <t>いたる所に</t>
  </si>
  <si>
    <t>unlike</t>
  </si>
  <si>
    <t>～と違って</t>
  </si>
  <si>
    <t>besides</t>
  </si>
  <si>
    <t>～に加えて</t>
  </si>
  <si>
    <t>beyond</t>
  </si>
  <si>
    <t>～の向こうに；～できる範囲をこえて</t>
  </si>
  <si>
    <t>within</t>
  </si>
  <si>
    <t>～以内で</t>
  </si>
  <si>
    <t>nor</t>
  </si>
  <si>
    <t>～もない</t>
  </si>
  <si>
    <t>unless</t>
  </si>
  <si>
    <t>～しない限り</t>
  </si>
  <si>
    <t>except</t>
  </si>
  <si>
    <t>～を除いて</t>
  </si>
  <si>
    <t>ought</t>
  </si>
  <si>
    <t>～すべきである</t>
  </si>
  <si>
    <t>in spite of</t>
  </si>
  <si>
    <t>～にもかかわらず</t>
  </si>
  <si>
    <t>whether</t>
  </si>
  <si>
    <t>～かどうか、～であろうとなかろうと</t>
  </si>
  <si>
    <t>explain</t>
  </si>
  <si>
    <t>～を説明する</t>
  </si>
  <si>
    <t>accept</t>
  </si>
  <si>
    <t>～を受け入れる</t>
  </si>
  <si>
    <t>produce</t>
  </si>
  <si>
    <t>～を生産する</t>
  </si>
  <si>
    <t>exist</t>
  </si>
  <si>
    <t>存在する</t>
  </si>
  <si>
    <t>express</t>
  </si>
  <si>
    <t>～を表現する</t>
  </si>
  <si>
    <t>add</t>
  </si>
  <si>
    <t>～を加える</t>
  </si>
  <si>
    <t>avoid</t>
  </si>
  <si>
    <t>～を避ける</t>
  </si>
  <si>
    <t>marry</t>
  </si>
  <si>
    <t>～と結婚する</t>
  </si>
  <si>
    <t>protect</t>
  </si>
  <si>
    <t>～を守る</t>
  </si>
  <si>
    <t>affect</t>
  </si>
  <si>
    <t>～に影響する</t>
  </si>
  <si>
    <t>determine</t>
  </si>
  <si>
    <t>～を決定する</t>
  </si>
  <si>
    <t>solve</t>
  </si>
  <si>
    <t>～を解決する</t>
  </si>
  <si>
    <t>contain</t>
  </si>
  <si>
    <t>～を含んでいる</t>
  </si>
  <si>
    <t>discuss</t>
  </si>
  <si>
    <t>～を議論する</t>
  </si>
  <si>
    <t>ignore</t>
  </si>
  <si>
    <t>～を無視する</t>
  </si>
  <si>
    <t>guess</t>
  </si>
  <si>
    <t>～を推測する</t>
  </si>
  <si>
    <t>exchange</t>
  </si>
  <si>
    <t>交換する</t>
  </si>
  <si>
    <t>satisfy</t>
  </si>
  <si>
    <t>～を満たす</t>
  </si>
  <si>
    <t>complain</t>
  </si>
  <si>
    <t>苦情を言う</t>
  </si>
  <si>
    <t>achieve</t>
  </si>
  <si>
    <t>～を達成する</t>
  </si>
  <si>
    <t>enable</t>
  </si>
  <si>
    <t>～を可能にする</t>
  </si>
  <si>
    <t>intend</t>
  </si>
  <si>
    <t>つもりだ</t>
  </si>
  <si>
    <t>obtain</t>
  </si>
  <si>
    <t>divide</t>
  </si>
  <si>
    <t>分割する</t>
  </si>
  <si>
    <t>annoy</t>
  </si>
  <si>
    <t>～をいらいらさせる</t>
  </si>
  <si>
    <t>differ</t>
  </si>
  <si>
    <t>異なる</t>
  </si>
  <si>
    <t>educate</t>
  </si>
  <si>
    <t>～を教育する</t>
  </si>
  <si>
    <t>borrow</t>
  </si>
  <si>
    <t>～を借りる</t>
  </si>
  <si>
    <t>invent</t>
  </si>
  <si>
    <t>～を発明する</t>
  </si>
  <si>
    <t>promote</t>
  </si>
  <si>
    <t>～を促進する</t>
  </si>
  <si>
    <t>advise</t>
  </si>
  <si>
    <t>～に忠告する</t>
  </si>
  <si>
    <t>retire</t>
  </si>
  <si>
    <t>辞める</t>
  </si>
  <si>
    <t>permit</t>
  </si>
  <si>
    <t>recommend</t>
  </si>
  <si>
    <t>～を勧める</t>
  </si>
  <si>
    <t>apologize</t>
  </si>
  <si>
    <t>謝る</t>
  </si>
  <si>
    <t>inform</t>
  </si>
  <si>
    <t>～に知らせる</t>
  </si>
  <si>
    <t>oppose</t>
  </si>
  <si>
    <t>～に反対する</t>
  </si>
  <si>
    <t>trust</t>
  </si>
  <si>
    <t>～を信用する</t>
  </si>
  <si>
    <t>select</t>
  </si>
  <si>
    <t>～を選ぶ</t>
  </si>
  <si>
    <t>praise</t>
  </si>
  <si>
    <t>～をほめる</t>
  </si>
  <si>
    <t>handle</t>
  </si>
  <si>
    <t>～に対処する</t>
  </si>
  <si>
    <t>propose</t>
  </si>
  <si>
    <t>～を提案する</t>
  </si>
  <si>
    <t>breathe</t>
  </si>
  <si>
    <t>～を呼吸する</t>
  </si>
  <si>
    <t>criticize</t>
  </si>
  <si>
    <t>～を非難する</t>
  </si>
  <si>
    <t>overcome</t>
  </si>
  <si>
    <t>～に打ち勝つ</t>
  </si>
  <si>
    <t>possess</t>
  </si>
  <si>
    <t>～を持っている</t>
  </si>
  <si>
    <t>predict</t>
  </si>
  <si>
    <t>～を予言する</t>
  </si>
  <si>
    <t>publish</t>
  </si>
  <si>
    <t>～を出版する</t>
  </si>
  <si>
    <t>floating</t>
  </si>
  <si>
    <t>浮かぶ</t>
  </si>
  <si>
    <t>recall</t>
  </si>
  <si>
    <t>～を思い出す</t>
  </si>
  <si>
    <t>explore</t>
  </si>
  <si>
    <t>～を探検する</t>
  </si>
  <si>
    <t>pretend</t>
  </si>
  <si>
    <t>ふりをする</t>
  </si>
  <si>
    <t>absorb</t>
  </si>
  <si>
    <t>～を吸収する</t>
  </si>
  <si>
    <t>resemble</t>
  </si>
  <si>
    <t>～に似ている</t>
  </si>
  <si>
    <t>tear</t>
  </si>
  <si>
    <t>～を引き裂く</t>
  </si>
  <si>
    <t>consume</t>
  </si>
  <si>
    <t>～を消費する</t>
  </si>
  <si>
    <t>compete</t>
  </si>
  <si>
    <t>競争する</t>
  </si>
  <si>
    <t>quit</t>
  </si>
  <si>
    <t>～をやめる</t>
  </si>
  <si>
    <t>announce</t>
  </si>
  <si>
    <t>～を発表する</t>
  </si>
  <si>
    <t>react</t>
  </si>
  <si>
    <t>反応する</t>
  </si>
  <si>
    <t>wander</t>
  </si>
  <si>
    <t>歩き回る</t>
  </si>
  <si>
    <t>text</t>
  </si>
  <si>
    <t>メールを送る</t>
  </si>
  <si>
    <t>generate</t>
  </si>
  <si>
    <t>～を生み出す</t>
  </si>
  <si>
    <t>score</t>
  </si>
  <si>
    <t>～を取る</t>
  </si>
  <si>
    <t>government</t>
  </si>
  <si>
    <t>政府</t>
  </si>
  <si>
    <t>knowledge</t>
  </si>
  <si>
    <t>知識</t>
  </si>
  <si>
    <t>nation</t>
  </si>
  <si>
    <t>国</t>
  </si>
  <si>
    <t>effort</t>
  </si>
  <si>
    <t>努力</t>
  </si>
  <si>
    <t>period</t>
  </si>
  <si>
    <t>時代</t>
  </si>
  <si>
    <t>population</t>
  </si>
  <si>
    <t>人口</t>
  </si>
  <si>
    <t>purpose</t>
  </si>
  <si>
    <t>目的</t>
  </si>
  <si>
    <t>behavior</t>
  </si>
  <si>
    <t>行動</t>
  </si>
  <si>
    <t>lack</t>
  </si>
  <si>
    <t>不足</t>
  </si>
  <si>
    <t>skill</t>
  </si>
  <si>
    <t>技術</t>
  </si>
  <si>
    <t>quality</t>
  </si>
  <si>
    <t>質</t>
  </si>
  <si>
    <t>environment</t>
  </si>
  <si>
    <t>環境</t>
  </si>
  <si>
    <t>role</t>
  </si>
  <si>
    <t>役割</t>
  </si>
  <si>
    <t>attitude</t>
  </si>
  <si>
    <t>態度</t>
  </si>
  <si>
    <t>author</t>
  </si>
  <si>
    <t>筆者</t>
  </si>
  <si>
    <t>research</t>
  </si>
  <si>
    <t>研究</t>
  </si>
  <si>
    <t>opportunity</t>
  </si>
  <si>
    <t>機会</t>
  </si>
  <si>
    <t>source</t>
  </si>
  <si>
    <t>源</t>
  </si>
  <si>
    <t>carbon</t>
  </si>
  <si>
    <t>炭素</t>
  </si>
  <si>
    <t>shape</t>
  </si>
  <si>
    <t>形</t>
  </si>
  <si>
    <t>advantage</t>
  </si>
  <si>
    <t>利点</t>
  </si>
  <si>
    <t>method</t>
  </si>
  <si>
    <t>方法</t>
  </si>
  <si>
    <t>habit</t>
  </si>
  <si>
    <t>習慣</t>
  </si>
  <si>
    <t>detail</t>
  </si>
  <si>
    <t>細部</t>
  </si>
  <si>
    <t>distance</t>
  </si>
  <si>
    <t>距離</t>
  </si>
  <si>
    <t>crowd</t>
  </si>
  <si>
    <t>群衆</t>
  </si>
  <si>
    <t>instance</t>
  </si>
  <si>
    <t>例</t>
  </si>
  <si>
    <t>desire</t>
  </si>
  <si>
    <t>願望</t>
  </si>
  <si>
    <t>standard</t>
  </si>
  <si>
    <t>水準</t>
  </si>
  <si>
    <t>task</t>
  </si>
  <si>
    <t>仕事</t>
  </si>
  <si>
    <t>generation</t>
  </si>
  <si>
    <t>世代</t>
  </si>
  <si>
    <t>responsibility</t>
  </si>
  <si>
    <t>責任</t>
  </si>
  <si>
    <t>experiment</t>
  </si>
  <si>
    <t>実験</t>
  </si>
  <si>
    <t>athlete</t>
  </si>
  <si>
    <t>運動選手</t>
  </si>
  <si>
    <t>decade</t>
  </si>
  <si>
    <t>10年</t>
  </si>
  <si>
    <t>loss</t>
  </si>
  <si>
    <t>損失</t>
  </si>
  <si>
    <t>fever</t>
  </si>
  <si>
    <t>熱</t>
  </si>
  <si>
    <t>theory</t>
  </si>
  <si>
    <t>理論</t>
  </si>
  <si>
    <t>statement</t>
  </si>
  <si>
    <t>記述</t>
  </si>
  <si>
    <t>professor</t>
  </si>
  <si>
    <t>教授</t>
  </si>
  <si>
    <t>function</t>
  </si>
  <si>
    <t>機能</t>
  </si>
  <si>
    <t>surface</t>
  </si>
  <si>
    <t>表面</t>
  </si>
  <si>
    <t>envelope</t>
  </si>
  <si>
    <t>封筒</t>
  </si>
  <si>
    <t>organization</t>
  </si>
  <si>
    <t>組織</t>
  </si>
  <si>
    <t>policy</t>
  </si>
  <si>
    <t>政策</t>
  </si>
  <si>
    <t>resource</t>
  </si>
  <si>
    <t>資源</t>
  </si>
  <si>
    <t>contrast</t>
  </si>
  <si>
    <t>対比</t>
  </si>
  <si>
    <t>flood</t>
  </si>
  <si>
    <t>洪水</t>
  </si>
  <si>
    <t>mate</t>
  </si>
  <si>
    <t>連れ合い</t>
  </si>
  <si>
    <t>goods</t>
  </si>
  <si>
    <t>商品</t>
  </si>
  <si>
    <t>creature</t>
  </si>
  <si>
    <t>動物</t>
  </si>
  <si>
    <t>structure</t>
  </si>
  <si>
    <t>構造</t>
  </si>
  <si>
    <t>tradition</t>
  </si>
  <si>
    <t>伝統</t>
  </si>
  <si>
    <t>weight</t>
  </si>
  <si>
    <t>体重</t>
  </si>
  <si>
    <t>charity</t>
  </si>
  <si>
    <t>慈善</t>
  </si>
  <si>
    <t>citizen</t>
  </si>
  <si>
    <t>市民</t>
  </si>
  <si>
    <t>impression</t>
  </si>
  <si>
    <t>印象</t>
  </si>
  <si>
    <t>cartoon</t>
  </si>
  <si>
    <t>マンガ</t>
  </si>
  <si>
    <t>career</t>
  </si>
  <si>
    <t>経歴</t>
  </si>
  <si>
    <t>site</t>
  </si>
  <si>
    <t>用地</t>
  </si>
  <si>
    <t>passenger</t>
  </si>
  <si>
    <t>乗客</t>
  </si>
  <si>
    <t>violence</t>
  </si>
  <si>
    <t>暴力</t>
  </si>
  <si>
    <t>income</t>
  </si>
  <si>
    <t>所得</t>
  </si>
  <si>
    <t>temperature</t>
  </si>
  <si>
    <t>気温</t>
  </si>
  <si>
    <t>majority</t>
  </si>
  <si>
    <t>大多数</t>
  </si>
  <si>
    <t>origin</t>
  </si>
  <si>
    <t>起源</t>
  </si>
  <si>
    <t>literature</t>
  </si>
  <si>
    <t>文学</t>
  </si>
  <si>
    <t>equipment</t>
  </si>
  <si>
    <t>設備</t>
  </si>
  <si>
    <t>stranger</t>
  </si>
  <si>
    <t>見知らぬ人</t>
  </si>
  <si>
    <t>strength</t>
  </si>
  <si>
    <t>強さ</t>
  </si>
  <si>
    <t>planet</t>
  </si>
  <si>
    <t>惑星</t>
  </si>
  <si>
    <t>fiction</t>
  </si>
  <si>
    <t>小説</t>
  </si>
  <si>
    <t>religion</t>
  </si>
  <si>
    <t>宗教</t>
  </si>
  <si>
    <t>pollution</t>
  </si>
  <si>
    <t>汚染</t>
  </si>
  <si>
    <t>wealth</t>
  </si>
  <si>
    <t>富</t>
  </si>
  <si>
    <t>document</t>
  </si>
  <si>
    <t>文書</t>
  </si>
  <si>
    <t>profit</t>
  </si>
  <si>
    <t>もうけ</t>
  </si>
  <si>
    <t>technique</t>
  </si>
  <si>
    <t>emotion</t>
  </si>
  <si>
    <t>感情</t>
  </si>
  <si>
    <t>phenomenon</t>
  </si>
  <si>
    <t>現象</t>
  </si>
  <si>
    <t>horror</t>
  </si>
  <si>
    <t>恐怖</t>
  </si>
  <si>
    <t>ladder</t>
  </si>
  <si>
    <t>はしご</t>
  </si>
  <si>
    <t>billion</t>
  </si>
  <si>
    <t>十億</t>
  </si>
  <si>
    <t>status</t>
  </si>
  <si>
    <t>地位</t>
  </si>
  <si>
    <t>youth</t>
  </si>
  <si>
    <t>若者</t>
  </si>
  <si>
    <t>confidence</t>
  </si>
  <si>
    <t>自信</t>
  </si>
  <si>
    <t>edge</t>
  </si>
  <si>
    <t>周辺</t>
  </si>
  <si>
    <t>household</t>
  </si>
  <si>
    <t>家庭</t>
  </si>
  <si>
    <t>scholar</t>
  </si>
  <si>
    <t>学者</t>
  </si>
  <si>
    <t>survey</t>
  </si>
  <si>
    <t>調査</t>
  </si>
  <si>
    <t>vocabulary</t>
  </si>
  <si>
    <t>語彙</t>
  </si>
  <si>
    <t>enemy</t>
  </si>
  <si>
    <t>敵</t>
  </si>
  <si>
    <t>construction</t>
  </si>
  <si>
    <t>建設</t>
  </si>
  <si>
    <t>lecture</t>
  </si>
  <si>
    <t>講義</t>
  </si>
  <si>
    <t>instruction</t>
  </si>
  <si>
    <t>指示</t>
  </si>
  <si>
    <t>crisis</t>
  </si>
  <si>
    <t>危機</t>
  </si>
  <si>
    <t>instrument</t>
  </si>
  <si>
    <t>器具</t>
  </si>
  <si>
    <t>crop</t>
  </si>
  <si>
    <t>作物</t>
  </si>
  <si>
    <t>weapon</t>
  </si>
  <si>
    <t>兵器</t>
  </si>
  <si>
    <t>device</t>
  </si>
  <si>
    <t>装置</t>
  </si>
  <si>
    <t>path</t>
  </si>
  <si>
    <t>道</t>
  </si>
  <si>
    <t>earthquake</t>
  </si>
  <si>
    <t>地震</t>
  </si>
  <si>
    <t>stream</t>
  </si>
  <si>
    <t>小川</t>
  </si>
  <si>
    <t>notion</t>
  </si>
  <si>
    <t>概念</t>
  </si>
  <si>
    <t>yard</t>
  </si>
  <si>
    <t>庭</t>
  </si>
  <si>
    <t>victim</t>
  </si>
  <si>
    <t>犠牲者</t>
  </si>
  <si>
    <t>fuel</t>
  </si>
  <si>
    <t>燃料</t>
  </si>
  <si>
    <t>ancestor</t>
  </si>
  <si>
    <t>祖先</t>
  </si>
  <si>
    <t>soil</t>
  </si>
  <si>
    <t>土壌</t>
  </si>
  <si>
    <t>debate</t>
  </si>
  <si>
    <t>討論</t>
  </si>
  <si>
    <t>crime</t>
  </si>
  <si>
    <t>犯罪</t>
  </si>
  <si>
    <t>colleague</t>
  </si>
  <si>
    <t>同僚</t>
  </si>
  <si>
    <t>shelf</t>
  </si>
  <si>
    <t>棚</t>
  </si>
  <si>
    <t>analysis</t>
  </si>
  <si>
    <t>分析</t>
  </si>
  <si>
    <t>universe</t>
  </si>
  <si>
    <t>宇宙</t>
  </si>
  <si>
    <t>electricity</t>
  </si>
  <si>
    <t>電気</t>
  </si>
  <si>
    <t>insect</t>
  </si>
  <si>
    <t>昆虫</t>
  </si>
  <si>
    <t>web</t>
  </si>
  <si>
    <t>巣</t>
  </si>
  <si>
    <t>storm</t>
  </si>
  <si>
    <t>嵐</t>
  </si>
  <si>
    <t>plenty</t>
  </si>
  <si>
    <t>十分な</t>
  </si>
  <si>
    <t>agriculture</t>
  </si>
  <si>
    <t>農業</t>
  </si>
  <si>
    <t>gene</t>
  </si>
  <si>
    <t>遺伝子</t>
  </si>
  <si>
    <t>evidence</t>
  </si>
  <si>
    <t>証拠</t>
  </si>
  <si>
    <t>consequence</t>
  </si>
  <si>
    <t>infant</t>
  </si>
  <si>
    <t>幼児</t>
  </si>
  <si>
    <t>leisure</t>
  </si>
  <si>
    <t>暇</t>
  </si>
  <si>
    <t>cell</t>
  </si>
  <si>
    <t>細胞</t>
  </si>
  <si>
    <t>talent</t>
  </si>
  <si>
    <t>才能</t>
  </si>
  <si>
    <t>advertising</t>
  </si>
  <si>
    <t>広告</t>
  </si>
  <si>
    <t>extent</t>
  </si>
  <si>
    <t>程度</t>
  </si>
  <si>
    <t>garbage</t>
  </si>
  <si>
    <t>ごみ</t>
  </si>
  <si>
    <t>general</t>
  </si>
  <si>
    <t>一般</t>
  </si>
  <si>
    <t>various</t>
  </si>
  <si>
    <t>さまざまな</t>
  </si>
  <si>
    <t>similar</t>
  </si>
  <si>
    <t>complete</t>
  </si>
  <si>
    <t>完全な</t>
  </si>
  <si>
    <t>sharp</t>
  </si>
  <si>
    <t>急激な</t>
  </si>
  <si>
    <t>expensive</t>
  </si>
  <si>
    <t>高価な</t>
  </si>
  <si>
    <t>political</t>
  </si>
  <si>
    <t>政治的な</t>
  </si>
  <si>
    <t>aware</t>
  </si>
  <si>
    <t>気づいている</t>
  </si>
  <si>
    <t>ancient</t>
  </si>
  <si>
    <t>古代の</t>
  </si>
  <si>
    <t>medical</t>
  </si>
  <si>
    <t>医学の</t>
  </si>
  <si>
    <t>essential</t>
  </si>
  <si>
    <t>不可欠だ</t>
  </si>
  <si>
    <t>huge</t>
  </si>
  <si>
    <t>巨大な</t>
  </si>
  <si>
    <t>terrible</t>
  </si>
  <si>
    <t>ひどい</t>
  </si>
  <si>
    <t>practical</t>
  </si>
  <si>
    <t>実用的な</t>
  </si>
  <si>
    <t>entire</t>
  </si>
  <si>
    <t>全</t>
  </si>
  <si>
    <t>favorite</t>
  </si>
  <si>
    <t>いちばん好きな</t>
  </si>
  <si>
    <t>comfortable</t>
  </si>
  <si>
    <t>快適な</t>
  </si>
  <si>
    <t>minor</t>
  </si>
  <si>
    <t>小さい</t>
  </si>
  <si>
    <t>typical</t>
  </si>
  <si>
    <t>典型的な</t>
  </si>
  <si>
    <t>ideal</t>
  </si>
  <si>
    <t>理想的な</t>
  </si>
  <si>
    <t>principal</t>
  </si>
  <si>
    <t>主要な</t>
  </si>
  <si>
    <t>appropriate</t>
  </si>
  <si>
    <t>empty</t>
  </si>
  <si>
    <t>からの</t>
  </si>
  <si>
    <t>rapid</t>
  </si>
  <si>
    <t>急速な</t>
  </si>
  <si>
    <t>mental</t>
  </si>
  <si>
    <t>精神の</t>
  </si>
  <si>
    <t>excellent</t>
  </si>
  <si>
    <t>convenient</t>
  </si>
  <si>
    <t>都合がいい</t>
  </si>
  <si>
    <t>potential</t>
  </si>
  <si>
    <t>潜在的な</t>
  </si>
  <si>
    <t>financial</t>
  </si>
  <si>
    <t>財政的な</t>
  </si>
  <si>
    <t>enormous</t>
  </si>
  <si>
    <t>莫大な</t>
  </si>
  <si>
    <t>rare</t>
  </si>
  <si>
    <t>珍しい</t>
  </si>
  <si>
    <t>artificial</t>
  </si>
  <si>
    <t>人工</t>
  </si>
  <si>
    <t>tiny</t>
  </si>
  <si>
    <t>ちっちゃな</t>
  </si>
  <si>
    <t>considerable</t>
  </si>
  <si>
    <t>かなりの</t>
  </si>
  <si>
    <t>sensitive</t>
  </si>
  <si>
    <t>敏感な</t>
  </si>
  <si>
    <t>intellectual</t>
  </si>
  <si>
    <t>知的な</t>
  </si>
  <si>
    <t>thirsty</t>
  </si>
  <si>
    <t>のどが渇く</t>
  </si>
  <si>
    <t>polite</t>
  </si>
  <si>
    <t>礼儀正しい</t>
  </si>
  <si>
    <t>accurate</t>
  </si>
  <si>
    <t>正確な</t>
  </si>
  <si>
    <t>rude</t>
  </si>
  <si>
    <t>失礼な</t>
  </si>
  <si>
    <t>sufficient</t>
  </si>
  <si>
    <t>urban</t>
  </si>
  <si>
    <t>都会の</t>
  </si>
  <si>
    <t>temporary</t>
  </si>
  <si>
    <t>一時的な</t>
  </si>
  <si>
    <t>primitive</t>
  </si>
  <si>
    <t>原始的な</t>
  </si>
  <si>
    <t>permanent</t>
  </si>
  <si>
    <t>永久</t>
  </si>
  <si>
    <t>elderly</t>
  </si>
  <si>
    <t>高齢の</t>
  </si>
  <si>
    <t>severe</t>
  </si>
  <si>
    <t>厳しい</t>
  </si>
  <si>
    <t>brief</t>
  </si>
  <si>
    <t>簡潔な</t>
  </si>
  <si>
    <t>mobile</t>
  </si>
  <si>
    <t>流動的な</t>
  </si>
  <si>
    <t>latest</t>
  </si>
  <si>
    <t>military</t>
  </si>
  <si>
    <t>軍事的な</t>
  </si>
  <si>
    <t>strict</t>
  </si>
  <si>
    <t>solid</t>
  </si>
  <si>
    <t>固体の</t>
  </si>
  <si>
    <t>stupid</t>
  </si>
  <si>
    <t>ばかな</t>
  </si>
  <si>
    <t>biological</t>
  </si>
  <si>
    <t>生物</t>
  </si>
  <si>
    <t>probably</t>
  </si>
  <si>
    <t>おそらく</t>
  </si>
  <si>
    <t>hardly</t>
  </si>
  <si>
    <t>ほとんど～ない</t>
  </si>
  <si>
    <t>immediately</t>
  </si>
  <si>
    <t>すぐに</t>
  </si>
  <si>
    <t>eventually</t>
  </si>
  <si>
    <t>ついに</t>
  </si>
  <si>
    <t>frequently</t>
  </si>
  <si>
    <t>しばしば</t>
  </si>
  <si>
    <t>extremely</t>
  </si>
  <si>
    <t>非常に</t>
  </si>
  <si>
    <t>gradually</t>
  </si>
  <si>
    <t>だんだん</t>
  </si>
  <si>
    <t>instantly</t>
  </si>
  <si>
    <t>nevertheless</t>
  </si>
  <si>
    <t>それにもかかわらず</t>
  </si>
  <si>
    <t>moreover</t>
  </si>
  <si>
    <t>その上</t>
  </si>
  <si>
    <t>relatively</t>
  </si>
  <si>
    <t>比較的</t>
  </si>
  <si>
    <t>apparently</t>
  </si>
  <si>
    <t>一見</t>
  </si>
  <si>
    <t>definitely</t>
  </si>
  <si>
    <t>絶対</t>
  </si>
  <si>
    <t>largely</t>
  </si>
  <si>
    <t>主に</t>
  </si>
  <si>
    <t>mostly</t>
  </si>
  <si>
    <t>大部分は</t>
  </si>
  <si>
    <t>approximately</t>
  </si>
  <si>
    <t>およそ</t>
  </si>
  <si>
    <t>overnight</t>
  </si>
  <si>
    <t>一晩</t>
  </si>
  <si>
    <t>accidentally</t>
  </si>
  <si>
    <t>偶然</t>
  </si>
  <si>
    <t>despite</t>
  </si>
  <si>
    <t>にもかかわらず</t>
  </si>
  <si>
    <t>proceed</t>
  </si>
  <si>
    <t>進む</t>
  </si>
  <si>
    <t>ensure</t>
  </si>
  <si>
    <t>～を確実にする</t>
  </si>
  <si>
    <t>interpret</t>
  </si>
  <si>
    <t>～を解釈する</t>
  </si>
  <si>
    <t>cease</t>
  </si>
  <si>
    <t>～しなくなる</t>
  </si>
  <si>
    <t>ban</t>
  </si>
  <si>
    <t>（公式に）～を禁止する</t>
  </si>
  <si>
    <t>obey</t>
  </si>
  <si>
    <t>～に従う</t>
  </si>
  <si>
    <t>eliminate</t>
  </si>
  <si>
    <t>(不要なもの)を除去する</t>
  </si>
  <si>
    <t>resist</t>
  </si>
  <si>
    <t>～に抵抗する</t>
  </si>
  <si>
    <t>accompany</t>
  </si>
  <si>
    <t>〈人〉に同伴する</t>
  </si>
  <si>
    <t>commit</t>
  </si>
  <si>
    <t>〈罪など〉を犯す、～をゆだねる、委任する、(本気で)取り組む</t>
  </si>
  <si>
    <t>pursue</t>
  </si>
  <si>
    <t>～を追求する</t>
  </si>
  <si>
    <t>demonstrate</t>
  </si>
  <si>
    <t>(証明などが)～を明らかに示す</t>
  </si>
  <si>
    <t>bet</t>
  </si>
  <si>
    <t>きっと～だと思う</t>
  </si>
  <si>
    <t>ruin</t>
  </si>
  <si>
    <t>～を台無しにする、破壊する</t>
  </si>
  <si>
    <t>threaten</t>
  </si>
  <si>
    <t>～を脅迫する</t>
  </si>
  <si>
    <t>attach</t>
  </si>
  <si>
    <t>AをBにくっつける</t>
  </si>
  <si>
    <t>reverse</t>
  </si>
  <si>
    <t>～を反対にする、逆転する</t>
  </si>
  <si>
    <t>restrict</t>
  </si>
  <si>
    <t>～を制限する</t>
  </si>
  <si>
    <t>compose</t>
  </si>
  <si>
    <t>～を組み立てる</t>
  </si>
  <si>
    <t>lean</t>
  </si>
  <si>
    <t>よりかかる、もたれる</t>
  </si>
  <si>
    <t>substitute</t>
  </si>
  <si>
    <t>～を代わりに用いる</t>
  </si>
  <si>
    <t>trace</t>
  </si>
  <si>
    <t>～の跡をたどる</t>
  </si>
  <si>
    <t>interrupt</t>
  </si>
  <si>
    <t>confront</t>
  </si>
  <si>
    <t>～の前に立ちふさがる、～に立ち向かう</t>
  </si>
  <si>
    <t>illustrate</t>
  </si>
  <si>
    <t>～を（例で）示す</t>
  </si>
  <si>
    <t>arrest</t>
  </si>
  <si>
    <t>～を逮捕する</t>
  </si>
  <si>
    <t>stimulate</t>
  </si>
  <si>
    <t>～を刺激する</t>
  </si>
  <si>
    <t>assure</t>
  </si>
  <si>
    <t>（～を）保証する</t>
  </si>
  <si>
    <t>consult</t>
  </si>
  <si>
    <t>～に相談する、～を参照する</t>
  </si>
  <si>
    <t>depress</t>
  </si>
  <si>
    <t>～を憂鬱にさせる</t>
  </si>
  <si>
    <t>crash</t>
  </si>
  <si>
    <t>激突する</t>
  </si>
  <si>
    <t>inspire</t>
  </si>
  <si>
    <t>～を奮起させる、やる気にさせる</t>
  </si>
  <si>
    <t>specialize</t>
  </si>
  <si>
    <t>Aを専門にする、専攻する</t>
  </si>
  <si>
    <t>cultivate</t>
  </si>
  <si>
    <t>(植物)を栽培する、(感情・能力などを)育む</t>
  </si>
  <si>
    <t>fulfill</t>
  </si>
  <si>
    <t>(約束・夢など)を果たす</t>
  </si>
  <si>
    <t>transmit</t>
  </si>
  <si>
    <t>～を送る、伝える</t>
  </si>
  <si>
    <t>found</t>
  </si>
  <si>
    <t>～を創立する、設立する</t>
  </si>
  <si>
    <t>clap</t>
  </si>
  <si>
    <t>(手など)をたたく</t>
  </si>
  <si>
    <t>burst</t>
  </si>
  <si>
    <t>破裂する、突然～しだす</t>
  </si>
  <si>
    <t>bow</t>
  </si>
  <si>
    <t>おじぎする</t>
  </si>
  <si>
    <t>dismiss</t>
  </si>
  <si>
    <t>(考えなど)を無視する、(人)を解雇する、解散する</t>
  </si>
  <si>
    <t>breed</t>
  </si>
  <si>
    <t>～を繁殖させる、繁殖する</t>
  </si>
  <si>
    <t>prohibit</t>
  </si>
  <si>
    <t>〈法・団体が〉～を禁じる</t>
  </si>
  <si>
    <t>oblige</t>
  </si>
  <si>
    <t>～に強いる</t>
  </si>
  <si>
    <t>qualify</t>
  </si>
  <si>
    <t>Aに適任である</t>
  </si>
  <si>
    <t>invest</t>
  </si>
  <si>
    <t>（金）を投資する</t>
  </si>
  <si>
    <t>grasp</t>
  </si>
  <si>
    <t>～を理解する</t>
  </si>
  <si>
    <t>collapse</t>
  </si>
  <si>
    <t>崩壊する</t>
  </si>
  <si>
    <t>overlook</t>
  </si>
  <si>
    <t>～を見落とす、～を見逃す</t>
  </si>
  <si>
    <t>accuse</t>
  </si>
  <si>
    <t>frustrate</t>
  </si>
  <si>
    <t>〈人〉を欲求不満にさせる</t>
  </si>
  <si>
    <t>deprive</t>
  </si>
  <si>
    <t>AからBを奪う</t>
  </si>
  <si>
    <t>astonish</t>
  </si>
  <si>
    <t>register</t>
  </si>
  <si>
    <t>～を登録する</t>
  </si>
  <si>
    <t>correspond</t>
  </si>
  <si>
    <t>一致する</t>
  </si>
  <si>
    <t>cast</t>
  </si>
  <si>
    <t>～を投げる</t>
  </si>
  <si>
    <t>attribute</t>
  </si>
  <si>
    <t>AはBのおかげだと思う</t>
  </si>
  <si>
    <t>neglect</t>
  </si>
  <si>
    <t>～を無視する、怠る</t>
  </si>
  <si>
    <t>starve</t>
  </si>
  <si>
    <t>飢える</t>
  </si>
  <si>
    <t>resolve</t>
  </si>
  <si>
    <t>(問題など)を解決する</t>
  </si>
  <si>
    <t>impose</t>
  </si>
  <si>
    <t>AをBに課す、押し付ける</t>
  </si>
  <si>
    <t>convert</t>
  </si>
  <si>
    <t>～を転換する</t>
  </si>
  <si>
    <t>scare</t>
  </si>
  <si>
    <t>constitute</t>
  </si>
  <si>
    <t>～を構成する、占める、～である</t>
  </si>
  <si>
    <t>appoint</t>
  </si>
  <si>
    <t>～を任命する</t>
  </si>
  <si>
    <t>imply</t>
  </si>
  <si>
    <t>～を(暗に)意味する</t>
  </si>
  <si>
    <t>assign</t>
  </si>
  <si>
    <t>(仕事・物)を割り当てる</t>
  </si>
  <si>
    <t>nod</t>
  </si>
  <si>
    <t>うなずく</t>
  </si>
  <si>
    <t>elect</t>
  </si>
  <si>
    <t>～を選挙で選ぶ</t>
  </si>
  <si>
    <t>transfer</t>
  </si>
  <si>
    <t>～を移す</t>
  </si>
  <si>
    <t>rob</t>
  </si>
  <si>
    <t>capture</t>
  </si>
  <si>
    <t>～を捕らえる</t>
  </si>
  <si>
    <t>undertake</t>
  </si>
  <si>
    <t>（仕事など）を引き受ける</t>
  </si>
  <si>
    <t>drown</t>
  </si>
  <si>
    <t>おぼれ死ぬ</t>
  </si>
  <si>
    <t>split</t>
  </si>
  <si>
    <t>～を割る、分裂する</t>
  </si>
  <si>
    <t>resort</t>
  </si>
  <si>
    <t>Aに訴える</t>
  </si>
  <si>
    <t>descend</t>
  </si>
  <si>
    <t>下る、降りる</t>
  </si>
  <si>
    <t>irritate</t>
  </si>
  <si>
    <t>～をいらだたせる</t>
  </si>
  <si>
    <t>pronounce</t>
  </si>
  <si>
    <t>〈単語など〉を発音する</t>
  </si>
  <si>
    <t>equip</t>
  </si>
  <si>
    <t>～を装備させる</t>
  </si>
  <si>
    <t>cheat</t>
  </si>
  <si>
    <t>いかさまをする</t>
  </si>
  <si>
    <t>emerge</t>
  </si>
  <si>
    <t>〈隠れていたものが〉現れる</t>
  </si>
  <si>
    <t>devote</t>
  </si>
  <si>
    <t>～をささげる</t>
  </si>
  <si>
    <t>heal</t>
  </si>
  <si>
    <t>〈けがなど〉を治す、治る</t>
  </si>
  <si>
    <t>urge</t>
  </si>
  <si>
    <t>～に強く迫る、～を説得する</t>
  </si>
  <si>
    <t>envy</t>
  </si>
  <si>
    <t>～をうらやむ</t>
  </si>
  <si>
    <t>chase</t>
  </si>
  <si>
    <t>～を追いかける</t>
  </si>
  <si>
    <t>prompt</t>
  </si>
  <si>
    <t>～を促す</t>
  </si>
  <si>
    <t>withdraw</t>
  </si>
  <si>
    <t>～を引っ込める、引きこもる、退く、(預金など)を引き出す</t>
  </si>
  <si>
    <t>detect</t>
  </si>
  <si>
    <t>～を探知する、～を発見する</t>
  </si>
  <si>
    <t>interfere</t>
  </si>
  <si>
    <t>Aを邪魔する</t>
  </si>
  <si>
    <t>kid</t>
  </si>
  <si>
    <t>冗談を言う、からかう</t>
  </si>
  <si>
    <t>launch</t>
  </si>
  <si>
    <t>(ロケットなど)を打ち上げる</t>
  </si>
  <si>
    <t>endanger</t>
  </si>
  <si>
    <t>～を危険にさらす</t>
  </si>
  <si>
    <t>foster</t>
  </si>
  <si>
    <t>～を促進する、育成する</t>
  </si>
  <si>
    <t>diminish</t>
  </si>
  <si>
    <t>減少する、衰える、～を減らす</t>
  </si>
  <si>
    <t>spill</t>
  </si>
  <si>
    <t>～をこぼす</t>
  </si>
  <si>
    <t>infect</t>
  </si>
  <si>
    <t>〈人〉に感染する</t>
  </si>
  <si>
    <t>stem</t>
  </si>
  <si>
    <t>Aから生じる、Aに由来する</t>
  </si>
  <si>
    <t>tap</t>
  </si>
  <si>
    <t>～を軽くたたく</t>
  </si>
  <si>
    <t>embrace</t>
  </si>
  <si>
    <t>受け入れる、含む</t>
  </si>
  <si>
    <t>proportion</t>
  </si>
  <si>
    <t>比率</t>
  </si>
  <si>
    <t>contract</t>
  </si>
  <si>
    <t>契約</t>
  </si>
  <si>
    <t>chest</t>
  </si>
  <si>
    <t>胸</t>
  </si>
  <si>
    <t>treasure</t>
  </si>
  <si>
    <t>財宝</t>
  </si>
  <si>
    <t>stock</t>
  </si>
  <si>
    <t>株(式)</t>
  </si>
  <si>
    <t>facility</t>
  </si>
  <si>
    <t>設備、施設</t>
  </si>
  <si>
    <t>sum</t>
  </si>
  <si>
    <t>金額、合計、要約</t>
  </si>
  <si>
    <t>rank</t>
  </si>
  <si>
    <t>democracy</t>
  </si>
  <si>
    <t>民主主義、民主国家</t>
  </si>
  <si>
    <t>emergency</t>
  </si>
  <si>
    <t>緊急事態</t>
  </si>
  <si>
    <t>protest</t>
  </si>
  <si>
    <t>抗議</t>
  </si>
  <si>
    <t>immigrant</t>
  </si>
  <si>
    <t>移民</t>
  </si>
  <si>
    <t>vehicle</t>
  </si>
  <si>
    <t>車、乗り物、手段</t>
  </si>
  <si>
    <t>routine</t>
  </si>
  <si>
    <t>決まりきった仕事、日課</t>
  </si>
  <si>
    <t>stuff</t>
  </si>
  <si>
    <t>物</t>
  </si>
  <si>
    <t>row</t>
  </si>
  <si>
    <t>列</t>
  </si>
  <si>
    <t>profile</t>
  </si>
  <si>
    <t>プロフィール、人物紹介、横顔</t>
  </si>
  <si>
    <t>dawn</t>
  </si>
  <si>
    <t>夜明け</t>
  </si>
  <si>
    <t>welfare</t>
  </si>
  <si>
    <t>福祉</t>
  </si>
  <si>
    <t>perspective</t>
  </si>
  <si>
    <t>見方</t>
  </si>
  <si>
    <t>enthusiasm</t>
  </si>
  <si>
    <t>熱意、情熱</t>
  </si>
  <si>
    <t>faith</t>
  </si>
  <si>
    <t>信頼</t>
  </si>
  <si>
    <t>occupation</t>
  </si>
  <si>
    <t>職業、占領</t>
  </si>
  <si>
    <t>witness</t>
  </si>
  <si>
    <t>証人、目撃者</t>
  </si>
  <si>
    <t>kingdom</t>
  </si>
  <si>
    <t>王国</t>
  </si>
  <si>
    <t>equivalent</t>
  </si>
  <si>
    <t>同等のもの、相当するもの</t>
  </si>
  <si>
    <t>objective</t>
  </si>
  <si>
    <t>目的、目標、客観的な</t>
  </si>
  <si>
    <t>pile</t>
  </si>
  <si>
    <t>積み重ね</t>
  </si>
  <si>
    <t>shelter</t>
  </si>
  <si>
    <t>避難(所)</t>
  </si>
  <si>
    <t>trial</t>
  </si>
  <si>
    <t>試み、裁判</t>
  </si>
  <si>
    <t>honor</t>
  </si>
  <si>
    <t>名誉</t>
  </si>
  <si>
    <t>territory</t>
  </si>
  <si>
    <t>領土、なわ張り</t>
  </si>
  <si>
    <t>frame</t>
  </si>
  <si>
    <t>わく</t>
  </si>
  <si>
    <t>border</t>
  </si>
  <si>
    <t>国境地帯</t>
  </si>
  <si>
    <t>statistics</t>
  </si>
  <si>
    <t>統計(学)</t>
  </si>
  <si>
    <t>enterprise</t>
  </si>
  <si>
    <t>企業、事業</t>
  </si>
  <si>
    <t>context</t>
  </si>
  <si>
    <t>文脈、状況</t>
  </si>
  <si>
    <t>load</t>
  </si>
  <si>
    <t>荷物</t>
  </si>
  <si>
    <t>grain</t>
  </si>
  <si>
    <t>穀物</t>
  </si>
  <si>
    <t>review</t>
  </si>
  <si>
    <t>再検討</t>
  </si>
  <si>
    <t>prejudice</t>
  </si>
  <si>
    <t>偏見</t>
  </si>
  <si>
    <t>strain</t>
  </si>
  <si>
    <t>負担</t>
  </si>
  <si>
    <t>trap</t>
  </si>
  <si>
    <t>わな、閉じ込められる、わなにかける</t>
  </si>
  <si>
    <t>temper</t>
  </si>
  <si>
    <t>気性</t>
  </si>
  <si>
    <t>slave</t>
  </si>
  <si>
    <t>奴隷</t>
  </si>
  <si>
    <t>wound</t>
  </si>
  <si>
    <t>傷</t>
  </si>
  <si>
    <t>divorce</t>
  </si>
  <si>
    <t>離婚</t>
  </si>
  <si>
    <t>tune</t>
  </si>
  <si>
    <t>曲</t>
  </si>
  <si>
    <t>height</t>
  </si>
  <si>
    <t>高さ、最盛期</t>
  </si>
  <si>
    <t>faculty</t>
  </si>
  <si>
    <t>学部、能力</t>
  </si>
  <si>
    <t>span</t>
  </si>
  <si>
    <t>期間</t>
  </si>
  <si>
    <t>dimension</t>
  </si>
  <si>
    <t>側面、要素、次元</t>
  </si>
  <si>
    <t>version</t>
  </si>
  <si>
    <t>型、...版、翻訳、説明</t>
  </si>
  <si>
    <t>parallel</t>
  </si>
  <si>
    <t>類似(物)、匹敵するもの</t>
  </si>
  <si>
    <t>horizon</t>
  </si>
  <si>
    <t>地平線</t>
  </si>
  <si>
    <t>acquaintance</t>
  </si>
  <si>
    <t>知人</t>
  </si>
  <si>
    <t>burden</t>
  </si>
  <si>
    <t>重荷</t>
  </si>
  <si>
    <t>basis</t>
  </si>
  <si>
    <t>基礎、根拠、方式、やり方</t>
  </si>
  <si>
    <t>poison</t>
  </si>
  <si>
    <t>毒</t>
  </si>
  <si>
    <t>constitution</t>
  </si>
  <si>
    <t>憲法</t>
  </si>
  <si>
    <t>administration</t>
  </si>
  <si>
    <t>経営、行政</t>
  </si>
  <si>
    <t>charm</t>
  </si>
  <si>
    <t>魅力</t>
  </si>
  <si>
    <t>organ</t>
  </si>
  <si>
    <t>臓器、器官</t>
  </si>
  <si>
    <t>prey</t>
  </si>
  <si>
    <t>獲物、えじき</t>
  </si>
  <si>
    <t>venture</t>
  </si>
  <si>
    <t>冒険的事業</t>
  </si>
  <si>
    <t>mission</t>
  </si>
  <si>
    <t>使命、任務</t>
  </si>
  <si>
    <t>inquiry</t>
  </si>
  <si>
    <t>調査、質問、問い合わせ</t>
  </si>
  <si>
    <t>award</t>
  </si>
  <si>
    <t>賞</t>
  </si>
  <si>
    <t>strip</t>
  </si>
  <si>
    <t>細長い一片</t>
  </si>
  <si>
    <t>distress</t>
  </si>
  <si>
    <t>苦しみ、悲嘆、苦難</t>
  </si>
  <si>
    <t>circulation</t>
  </si>
  <si>
    <t>循環、流通、発行部数</t>
  </si>
  <si>
    <t>shade</t>
  </si>
  <si>
    <t>陰、日陰</t>
  </si>
  <si>
    <t>stereotype</t>
  </si>
  <si>
    <t>典型的なイメージ、類型、固定観念</t>
  </si>
  <si>
    <t>client</t>
  </si>
  <si>
    <t>依頼人</t>
  </si>
  <si>
    <t>output</t>
  </si>
  <si>
    <t>生産高</t>
  </si>
  <si>
    <t>lord</t>
  </si>
  <si>
    <t>神</t>
  </si>
  <si>
    <t>convention</t>
  </si>
  <si>
    <t>慣習、しきたり、会議、大会</t>
  </si>
  <si>
    <t>mine</t>
  </si>
  <si>
    <t>鉱山</t>
  </si>
  <si>
    <t>craft</t>
  </si>
  <si>
    <t>工芸、技術、巧みに作る</t>
  </si>
  <si>
    <t>core</t>
  </si>
  <si>
    <t>中心、核心</t>
  </si>
  <si>
    <t>stroke</t>
  </si>
  <si>
    <t>脳卒中、発作、打撃、一撃、なでる</t>
  </si>
  <si>
    <t>frontier</t>
  </si>
  <si>
    <t>国境</t>
  </si>
  <si>
    <t>peer</t>
  </si>
  <si>
    <t>同僚、じっと見る</t>
  </si>
  <si>
    <t>vessel</t>
  </si>
  <si>
    <t>血管、船、器</t>
  </si>
  <si>
    <t>disability</t>
  </si>
  <si>
    <t>障害</t>
  </si>
  <si>
    <t>gravity</t>
  </si>
  <si>
    <t>重力</t>
  </si>
  <si>
    <t>ethic</t>
  </si>
  <si>
    <t>倫理(学)</t>
  </si>
  <si>
    <t>terminal</t>
  </si>
  <si>
    <t>終点</t>
  </si>
  <si>
    <t>tide</t>
  </si>
  <si>
    <t>潮流、潮の干満</t>
  </si>
  <si>
    <t>abuse</t>
  </si>
  <si>
    <t>虐待</t>
  </si>
  <si>
    <t>guilty</t>
  </si>
  <si>
    <t>有罪の、罪の意識がある</t>
  </si>
  <si>
    <t>vital</t>
  </si>
  <si>
    <t>きわめて重要な、必要な、活気のある</t>
  </si>
  <si>
    <t>fellow</t>
  </si>
  <si>
    <t>仲間の</t>
  </si>
  <si>
    <t>contemporary</t>
  </si>
  <si>
    <t>現代の</t>
  </si>
  <si>
    <t>annual</t>
  </si>
  <si>
    <t>年に１度の、１年間の</t>
  </si>
  <si>
    <t>accustomed</t>
  </si>
  <si>
    <t>慣れた</t>
  </si>
  <si>
    <t>steady</t>
  </si>
  <si>
    <t>しっかりした</t>
  </si>
  <si>
    <t>dull</t>
  </si>
  <si>
    <t>退屈させる</t>
  </si>
  <si>
    <t>keen</t>
  </si>
  <si>
    <t>熱望して、鋭い</t>
  </si>
  <si>
    <t>loose</t>
  </si>
  <si>
    <t>ゆるい</t>
  </si>
  <si>
    <t>delicate</t>
  </si>
  <si>
    <t>繊細な、微妙で難しい</t>
  </si>
  <si>
    <t>internal</t>
  </si>
  <si>
    <t>内部の、国内の</t>
  </si>
  <si>
    <t>casual</t>
  </si>
  <si>
    <t>形式ばらない、気楽な</t>
  </si>
  <si>
    <t>mature</t>
  </si>
  <si>
    <t>成熟した</t>
  </si>
  <si>
    <t>concrete</t>
  </si>
  <si>
    <t>具体的な</t>
  </si>
  <si>
    <t>awful</t>
  </si>
  <si>
    <t>exhausted</t>
  </si>
  <si>
    <t>疲れ切っている</t>
  </si>
  <si>
    <t>overall</t>
  </si>
  <si>
    <t>全面的な、全体的な</t>
  </si>
  <si>
    <t>tight</t>
  </si>
  <si>
    <t>引き締まった、きつい</t>
  </si>
  <si>
    <t>prime</t>
  </si>
  <si>
    <t>最も重要な、主要な</t>
  </si>
  <si>
    <t>genuine</t>
  </si>
  <si>
    <t>本物の、真の、心からの</t>
  </si>
  <si>
    <t>modest</t>
  </si>
  <si>
    <t>控えめな、謙虚な、わずかな</t>
  </si>
  <si>
    <t>intimate</t>
  </si>
  <si>
    <t>親密な</t>
  </si>
  <si>
    <t>minimum</t>
  </si>
  <si>
    <t>最小限の</t>
  </si>
  <si>
    <t>sophisticated</t>
  </si>
  <si>
    <t>高度な</t>
  </si>
  <si>
    <t>latter</t>
  </si>
  <si>
    <t>後者の</t>
  </si>
  <si>
    <t>bitter</t>
  </si>
  <si>
    <t>苦い、つらい、腹を立てた</t>
  </si>
  <si>
    <t>peculiar</t>
  </si>
  <si>
    <t>独特の、固有の</t>
  </si>
  <si>
    <t>passive</t>
  </si>
  <si>
    <t>受動的な、消極的な</t>
  </si>
  <si>
    <t>ethnic</t>
  </si>
  <si>
    <t>民族的な、民族の</t>
  </si>
  <si>
    <t>noble</t>
  </si>
  <si>
    <t>高貴な</t>
  </si>
  <si>
    <t>vain</t>
  </si>
  <si>
    <t>むだな</t>
  </si>
  <si>
    <t>innocent</t>
  </si>
  <si>
    <t>無罪の、罪のない、無邪気な</t>
  </si>
  <si>
    <t>underlying</t>
  </si>
  <si>
    <t>根本的な</t>
  </si>
  <si>
    <t>alien</t>
  </si>
  <si>
    <t>外国の、異質な</t>
  </si>
  <si>
    <t>relevant</t>
  </si>
  <si>
    <t>関連のある</t>
  </si>
  <si>
    <t>inclined</t>
  </si>
  <si>
    <t>Ｖする傾向がある、Ｖしたい気がある</t>
  </si>
  <si>
    <t>awkward</t>
  </si>
  <si>
    <t>気まずい</t>
  </si>
  <si>
    <t>brilliant</t>
  </si>
  <si>
    <t>desperate</t>
  </si>
  <si>
    <t>必死の</t>
  </si>
  <si>
    <t>refreshing</t>
  </si>
  <si>
    <t>さわやかな</t>
  </si>
  <si>
    <t>thrilled</t>
  </si>
  <si>
    <t>とてもうれしい</t>
  </si>
  <si>
    <t>inner</t>
  </si>
  <si>
    <t>内側の</t>
  </si>
  <si>
    <t>consistent</t>
  </si>
  <si>
    <t>矛盾のない、一致した</t>
  </si>
  <si>
    <t>plain</t>
  </si>
  <si>
    <t>明白な、わかりやすい</t>
  </si>
  <si>
    <t>vivid</t>
  </si>
  <si>
    <t>鮮やかな</t>
  </si>
  <si>
    <t>miserable</t>
  </si>
  <si>
    <t>惨めな</t>
  </si>
  <si>
    <t>substantial</t>
  </si>
  <si>
    <t>相当な、多大な</t>
  </si>
  <si>
    <t>fond</t>
  </si>
  <si>
    <t>Aが好きだ</t>
  </si>
  <si>
    <t>まちがいの</t>
  </si>
  <si>
    <t>lazy</t>
  </si>
  <si>
    <t>怠惰な</t>
  </si>
  <si>
    <t>precisely</t>
  </si>
  <si>
    <t>正確に、まさに、ちょうど</t>
  </si>
  <si>
    <t>meanwhile</t>
  </si>
  <si>
    <t>その間に</t>
  </si>
  <si>
    <t>altogether</t>
  </si>
  <si>
    <t>完全に</t>
  </si>
  <si>
    <t>lately</t>
  </si>
  <si>
    <t>最近</t>
  </si>
  <si>
    <t>barely</t>
  </si>
  <si>
    <t>かろうじて</t>
  </si>
  <si>
    <t>scarcely</t>
  </si>
  <si>
    <t>accordingly</t>
  </si>
  <si>
    <t>それ相応に</t>
  </si>
  <si>
    <t>deliberately</t>
  </si>
  <si>
    <t>わざと</t>
  </si>
  <si>
    <t>beneath</t>
  </si>
  <si>
    <t>～の下で</t>
  </si>
  <si>
    <t>whereas</t>
  </si>
  <si>
    <t>～だが一方</t>
  </si>
  <si>
    <t>declare</t>
  </si>
  <si>
    <t>～を宣言する</t>
  </si>
  <si>
    <t>alter</t>
  </si>
  <si>
    <t>arise</t>
  </si>
  <si>
    <t>生じる</t>
  </si>
  <si>
    <t>transform</t>
  </si>
  <si>
    <t>変える</t>
  </si>
  <si>
    <t>defeat</t>
  </si>
  <si>
    <t>～を打ち負かす</t>
  </si>
  <si>
    <t>investigate</t>
  </si>
  <si>
    <t>distinguish</t>
  </si>
  <si>
    <t>～を見分ける</t>
  </si>
  <si>
    <t>bury</t>
  </si>
  <si>
    <t>～を埋める</t>
  </si>
  <si>
    <t>cope</t>
  </si>
  <si>
    <t>うまく対処する</t>
  </si>
  <si>
    <t>occur</t>
  </si>
  <si>
    <t>起こる</t>
  </si>
  <si>
    <t>accomplish</t>
  </si>
  <si>
    <t>～をやりとげる</t>
  </si>
  <si>
    <t>hesitate</t>
  </si>
  <si>
    <t>ためらう</t>
  </si>
  <si>
    <t>endure</t>
  </si>
  <si>
    <t>～に耐える</t>
  </si>
  <si>
    <t>conclude</t>
  </si>
  <si>
    <t>～と結論づける</t>
  </si>
  <si>
    <t>guarantee</t>
  </si>
  <si>
    <t>～を保証する</t>
  </si>
  <si>
    <t>dominate</t>
  </si>
  <si>
    <t>～を支配する</t>
  </si>
  <si>
    <t>confirm</t>
  </si>
  <si>
    <t>～を裏付ける</t>
  </si>
  <si>
    <t>greet</t>
  </si>
  <si>
    <t>～にあいさつする</t>
  </si>
  <si>
    <t>entertain</t>
  </si>
  <si>
    <t>defend</t>
  </si>
  <si>
    <t>forbid</t>
  </si>
  <si>
    <t>～を禁じる</t>
  </si>
  <si>
    <t>broadcast</t>
  </si>
  <si>
    <t>～を放送する</t>
  </si>
  <si>
    <t>sacrifice</t>
  </si>
  <si>
    <t>～を犠牲にする</t>
  </si>
  <si>
    <t>punish</t>
  </si>
  <si>
    <t>～を罰する</t>
  </si>
  <si>
    <t>glance</t>
  </si>
  <si>
    <t>ちらりと見る</t>
  </si>
  <si>
    <t>retain</t>
  </si>
  <si>
    <t>～を保持する</t>
  </si>
  <si>
    <t>calculate</t>
  </si>
  <si>
    <t>～を計算する</t>
  </si>
  <si>
    <t>sinking</t>
  </si>
  <si>
    <t>沈む</t>
  </si>
  <si>
    <t>rescue</t>
  </si>
  <si>
    <t>～を救助する</t>
  </si>
  <si>
    <t>beg</t>
  </si>
  <si>
    <t>～と乞う</t>
  </si>
  <si>
    <t>define</t>
  </si>
  <si>
    <t>定義する</t>
  </si>
  <si>
    <t>deceive</t>
  </si>
  <si>
    <t>～をだます</t>
  </si>
  <si>
    <t>convey</t>
  </si>
  <si>
    <t>～を伝える</t>
  </si>
  <si>
    <t>sustain</t>
  </si>
  <si>
    <t>～を維持する</t>
  </si>
  <si>
    <t>purchase</t>
  </si>
  <si>
    <t>～を購入する</t>
  </si>
  <si>
    <t>fade</t>
  </si>
  <si>
    <t>薄れる</t>
  </si>
  <si>
    <t>regulate</t>
  </si>
  <si>
    <t>～を規制する</t>
  </si>
  <si>
    <t>distribute</t>
  </si>
  <si>
    <t>～を分配する</t>
  </si>
  <si>
    <t>enhance</t>
  </si>
  <si>
    <t>chat</t>
  </si>
  <si>
    <t>おしゃべりする</t>
  </si>
  <si>
    <t>exceed</t>
  </si>
  <si>
    <t>～を超える</t>
  </si>
  <si>
    <t>wipe</t>
  </si>
  <si>
    <t>～をふく</t>
  </si>
  <si>
    <t>cooperate</t>
  </si>
  <si>
    <t>協力する</t>
  </si>
  <si>
    <t>inherit</t>
  </si>
  <si>
    <t>～を受け継ぐ</t>
  </si>
  <si>
    <t>unite</t>
  </si>
  <si>
    <t>～を団結させる</t>
  </si>
  <si>
    <t>leap</t>
  </si>
  <si>
    <t>跳ぶ</t>
  </si>
  <si>
    <t>exaggerate</t>
  </si>
  <si>
    <t>～を誇張する</t>
  </si>
  <si>
    <t>conquer</t>
  </si>
  <si>
    <t>～を征服する</t>
  </si>
  <si>
    <t>melt</t>
  </si>
  <si>
    <t>溶ける</t>
  </si>
  <si>
    <t>invade</t>
  </si>
  <si>
    <t>～に侵入する</t>
  </si>
  <si>
    <t>modify</t>
  </si>
  <si>
    <t>～を修正する</t>
  </si>
  <si>
    <t>scatter</t>
  </si>
  <si>
    <t>～をばらまく</t>
  </si>
  <si>
    <t>undergo</t>
  </si>
  <si>
    <t>～を経験する</t>
  </si>
  <si>
    <t>evaluate</t>
  </si>
  <si>
    <t>～を評価する</t>
  </si>
  <si>
    <t>bend</t>
  </si>
  <si>
    <t>身をかがめる</t>
  </si>
  <si>
    <t>derive</t>
  </si>
  <si>
    <t>由来する</t>
  </si>
  <si>
    <t>screaming</t>
  </si>
  <si>
    <t>悲鳴をあげる</t>
  </si>
  <si>
    <t>gaze</t>
  </si>
  <si>
    <t>見つめる</t>
  </si>
  <si>
    <t>pray</t>
  </si>
  <si>
    <t>祈る</t>
  </si>
  <si>
    <t>polish</t>
  </si>
  <si>
    <t>～を磨く</t>
  </si>
  <si>
    <t>classify</t>
  </si>
  <si>
    <t>分類する</t>
  </si>
  <si>
    <t>assert</t>
  </si>
  <si>
    <t>grab</t>
  </si>
  <si>
    <t>～をつかむ</t>
  </si>
  <si>
    <t>fold</t>
  </si>
  <si>
    <t>～を折りたたむ</t>
  </si>
  <si>
    <t>sweep</t>
  </si>
  <si>
    <t>～を掃く</t>
  </si>
  <si>
    <t>whisper</t>
  </si>
  <si>
    <t>ささやく</t>
  </si>
  <si>
    <t>imitate</t>
  </si>
  <si>
    <t>～をまねる</t>
  </si>
  <si>
    <t>stare</t>
  </si>
  <si>
    <t>じっと見る</t>
  </si>
  <si>
    <t>emphasize</t>
  </si>
  <si>
    <t>rid</t>
  </si>
  <si>
    <t>～を取り除く</t>
  </si>
  <si>
    <t>pour</t>
  </si>
  <si>
    <t>～を注ぐ</t>
  </si>
  <si>
    <t>vanish</t>
  </si>
  <si>
    <t>消える</t>
  </si>
  <si>
    <t>restore</t>
  </si>
  <si>
    <t>～を修復する</t>
  </si>
  <si>
    <t>deserve</t>
  </si>
  <si>
    <t>当然だ</t>
  </si>
  <si>
    <t>laboratory</t>
  </si>
  <si>
    <t>研究所</t>
  </si>
  <si>
    <t>conference</t>
  </si>
  <si>
    <t>会議</t>
  </si>
  <si>
    <t>continent</t>
  </si>
  <si>
    <t>大陸</t>
  </si>
  <si>
    <t>insurance</t>
  </si>
  <si>
    <t>保険</t>
  </si>
  <si>
    <t>crew</t>
  </si>
  <si>
    <t>乗組員たち</t>
  </si>
  <si>
    <t>poverty</t>
  </si>
  <si>
    <t>貧乏</t>
  </si>
  <si>
    <t>shortage</t>
  </si>
  <si>
    <t>affair</t>
  </si>
  <si>
    <t>情勢</t>
  </si>
  <si>
    <t>exception</t>
  </si>
  <si>
    <t>例外</t>
  </si>
  <si>
    <t>wage</t>
  </si>
  <si>
    <t>賃金</t>
  </si>
  <si>
    <t>wisdom</t>
  </si>
  <si>
    <t>知恵</t>
  </si>
  <si>
    <t>tax</t>
  </si>
  <si>
    <t>税金</t>
  </si>
  <si>
    <t>evolution</t>
  </si>
  <si>
    <t>進化</t>
  </si>
  <si>
    <t>barrier</t>
  </si>
  <si>
    <t>壁</t>
  </si>
  <si>
    <t>category</t>
  </si>
  <si>
    <t>範ちゅう</t>
  </si>
  <si>
    <t>unit</t>
  </si>
  <si>
    <t>単位</t>
  </si>
  <si>
    <t>reputation</t>
  </si>
  <si>
    <t>評判</t>
  </si>
  <si>
    <t>virtue</t>
  </si>
  <si>
    <t>美徳</t>
  </si>
  <si>
    <t>courage</t>
  </si>
  <si>
    <t>勇気</t>
  </si>
  <si>
    <t>sympathy</t>
  </si>
  <si>
    <t>同情</t>
  </si>
  <si>
    <t>union</t>
  </si>
  <si>
    <t>組合</t>
  </si>
  <si>
    <t>civilization</t>
  </si>
  <si>
    <t>文明</t>
  </si>
  <si>
    <t>volume</t>
  </si>
  <si>
    <t>冊</t>
  </si>
  <si>
    <t>blossom</t>
  </si>
  <si>
    <t>花</t>
  </si>
  <si>
    <t>era</t>
  </si>
  <si>
    <t>dispute</t>
  </si>
  <si>
    <t>紛争</t>
  </si>
  <si>
    <t>tourism</t>
  </si>
  <si>
    <t>観光</t>
  </si>
  <si>
    <t>mankind</t>
  </si>
  <si>
    <t>人類</t>
  </si>
  <si>
    <t>murder</t>
  </si>
  <si>
    <t>殺人</t>
  </si>
  <si>
    <t>landscape</t>
  </si>
  <si>
    <t>風景</t>
  </si>
  <si>
    <t>destination</t>
  </si>
  <si>
    <t>目的地</t>
  </si>
  <si>
    <t>tale</t>
  </si>
  <si>
    <t>話</t>
  </si>
  <si>
    <t>reform</t>
  </si>
  <si>
    <t>改革</t>
  </si>
  <si>
    <t>muscle</t>
  </si>
  <si>
    <t>筋肉</t>
  </si>
  <si>
    <t>prospect</t>
  </si>
  <si>
    <t>見通し</t>
  </si>
  <si>
    <t>corporation</t>
  </si>
  <si>
    <t>企業</t>
  </si>
  <si>
    <t>colony</t>
  </si>
  <si>
    <t>植民地</t>
  </si>
  <si>
    <t>quarrel</t>
  </si>
  <si>
    <t>口論</t>
  </si>
  <si>
    <t>profession</t>
  </si>
  <si>
    <t>職業</t>
  </si>
  <si>
    <t>aspect</t>
  </si>
  <si>
    <t>側面</t>
  </si>
  <si>
    <t>pause</t>
  </si>
  <si>
    <t>休止</t>
  </si>
  <si>
    <t>conflict</t>
  </si>
  <si>
    <t>対立</t>
  </si>
  <si>
    <t>privilege</t>
  </si>
  <si>
    <t>特権</t>
  </si>
  <si>
    <t>prosperity</t>
  </si>
  <si>
    <t>繁栄</t>
  </si>
  <si>
    <t>genius</t>
  </si>
  <si>
    <t>天才</t>
  </si>
  <si>
    <t>seed</t>
  </si>
  <si>
    <t>種</t>
  </si>
  <si>
    <t>symptom</t>
  </si>
  <si>
    <t>症状</t>
  </si>
  <si>
    <t>merit</t>
  </si>
  <si>
    <t>長所</t>
  </si>
  <si>
    <t>layer</t>
  </si>
  <si>
    <t>層</t>
  </si>
  <si>
    <t>clue</t>
  </si>
  <si>
    <t>手がかり</t>
  </si>
  <si>
    <t>circumstances</t>
  </si>
  <si>
    <t>状況</t>
  </si>
  <si>
    <t>district</t>
  </si>
  <si>
    <t>地区</t>
  </si>
  <si>
    <t>prison</t>
  </si>
  <si>
    <t>刑務所</t>
  </si>
  <si>
    <t>companion</t>
  </si>
  <si>
    <t>仲間</t>
  </si>
  <si>
    <t>executive</t>
  </si>
  <si>
    <t>重役</t>
  </si>
  <si>
    <t>Justice</t>
  </si>
  <si>
    <t>正義</t>
  </si>
  <si>
    <t>procedure</t>
  </si>
  <si>
    <t>手続き</t>
  </si>
  <si>
    <t>ray</t>
  </si>
  <si>
    <t>光線</t>
  </si>
  <si>
    <t>heaven</t>
  </si>
  <si>
    <t>天国</t>
  </si>
  <si>
    <t>luxury</t>
  </si>
  <si>
    <t>贅沢</t>
  </si>
  <si>
    <t>oxygen</t>
  </si>
  <si>
    <t>酸素</t>
  </si>
  <si>
    <t>fund</t>
  </si>
  <si>
    <t>資金</t>
  </si>
  <si>
    <t>theme</t>
  </si>
  <si>
    <t>主題、テーマ</t>
  </si>
  <si>
    <t>boundary</t>
  </si>
  <si>
    <t>境界</t>
  </si>
  <si>
    <t>ambition</t>
  </si>
  <si>
    <t>熱望</t>
  </si>
  <si>
    <t>forecast</t>
  </si>
  <si>
    <t>予報</t>
  </si>
  <si>
    <t>psychology</t>
  </si>
  <si>
    <t>心理学</t>
  </si>
  <si>
    <t>labor</t>
  </si>
  <si>
    <t>労働</t>
  </si>
  <si>
    <t>committee</t>
  </si>
  <si>
    <t>委員会</t>
  </si>
  <si>
    <t>physician</t>
  </si>
  <si>
    <t>医者</t>
  </si>
  <si>
    <t>philosophy</t>
  </si>
  <si>
    <t>哲学</t>
  </si>
  <si>
    <t>affection</t>
  </si>
  <si>
    <t>愛情</t>
  </si>
  <si>
    <t>candidate</t>
  </si>
  <si>
    <t>候補</t>
  </si>
  <si>
    <t>bomb</t>
  </si>
  <si>
    <t>爆弾</t>
  </si>
  <si>
    <t>priority</t>
  </si>
  <si>
    <t>優先</t>
  </si>
  <si>
    <t>obstacle</t>
  </si>
  <si>
    <t>appetite</t>
  </si>
  <si>
    <t>食欲</t>
  </si>
  <si>
    <t>tension</t>
  </si>
  <si>
    <t>緊張</t>
  </si>
  <si>
    <t>tribe</t>
  </si>
  <si>
    <t>部族</t>
  </si>
  <si>
    <t>budget</t>
  </si>
  <si>
    <t>予算</t>
  </si>
  <si>
    <t>campaign</t>
  </si>
  <si>
    <t>運動、キャンペーン</t>
  </si>
  <si>
    <t>sorrow</t>
  </si>
  <si>
    <t>悲しみ</t>
  </si>
  <si>
    <t>satellite</t>
  </si>
  <si>
    <t>衛星</t>
  </si>
  <si>
    <t>insight</t>
  </si>
  <si>
    <t>洞察</t>
  </si>
  <si>
    <t>cough</t>
  </si>
  <si>
    <t>せき</t>
  </si>
  <si>
    <t>fate</t>
  </si>
  <si>
    <t>運命</t>
  </si>
  <si>
    <t>scheme</t>
  </si>
  <si>
    <t>insult</t>
  </si>
  <si>
    <t>侮辱</t>
  </si>
  <si>
    <t>inhabitant</t>
  </si>
  <si>
    <t>fossil</t>
  </si>
  <si>
    <t>化石</t>
  </si>
  <si>
    <t>motive</t>
  </si>
  <si>
    <t>動機</t>
  </si>
  <si>
    <t>instinct</t>
  </si>
  <si>
    <t>本能</t>
  </si>
  <si>
    <t>legend</t>
  </si>
  <si>
    <t>伝説</t>
  </si>
  <si>
    <t>empire</t>
  </si>
  <si>
    <t>帝国</t>
  </si>
  <si>
    <t>suburb</t>
  </si>
  <si>
    <t>郊外</t>
  </si>
  <si>
    <t>architecture</t>
  </si>
  <si>
    <t>建築</t>
  </si>
  <si>
    <t>passion</t>
  </si>
  <si>
    <t>情熱</t>
  </si>
  <si>
    <t>cancer</t>
  </si>
  <si>
    <t>ガン</t>
  </si>
  <si>
    <t>logic</t>
  </si>
  <si>
    <t>論理</t>
  </si>
  <si>
    <t>dozen</t>
  </si>
  <si>
    <t>ダース</t>
  </si>
  <si>
    <t>harvest</t>
  </si>
  <si>
    <t>収穫</t>
  </si>
  <si>
    <t>ingredient</t>
  </si>
  <si>
    <t>材料</t>
  </si>
  <si>
    <t>hypothesis</t>
  </si>
  <si>
    <t>仮説</t>
  </si>
  <si>
    <t>voyage</t>
  </si>
  <si>
    <t>航海</t>
  </si>
  <si>
    <t>editor</t>
  </si>
  <si>
    <t>編集者</t>
  </si>
  <si>
    <t>option</t>
  </si>
  <si>
    <t>選択の自由</t>
  </si>
  <si>
    <t>hemisphere</t>
  </si>
  <si>
    <t>半球</t>
  </si>
  <si>
    <t>mechanism</t>
  </si>
  <si>
    <t>仕組み</t>
  </si>
  <si>
    <t>anthropologist</t>
  </si>
  <si>
    <t>人類学者</t>
  </si>
  <si>
    <t>tragedy</t>
  </si>
  <si>
    <t>悲劇</t>
  </si>
  <si>
    <t>antibiotic</t>
  </si>
  <si>
    <t>抗生物質</t>
  </si>
  <si>
    <t>fare</t>
  </si>
  <si>
    <t>運賃</t>
  </si>
  <si>
    <t>debt</t>
  </si>
  <si>
    <t>借金</t>
  </si>
  <si>
    <t>curriculum</t>
  </si>
  <si>
    <t>教育課程</t>
  </si>
  <si>
    <t>component</t>
  </si>
  <si>
    <t>構成要素</t>
  </si>
  <si>
    <t>wheat</t>
  </si>
  <si>
    <t>小麦</t>
  </si>
  <si>
    <t>usage</t>
  </si>
  <si>
    <t>語法</t>
  </si>
  <si>
    <t>castle</t>
  </si>
  <si>
    <t>城</t>
  </si>
  <si>
    <t>famine</t>
  </si>
  <si>
    <t>飢饉</t>
  </si>
  <si>
    <t>extinction</t>
  </si>
  <si>
    <t>絶滅</t>
  </si>
  <si>
    <t>purse</t>
  </si>
  <si>
    <t>財布</t>
  </si>
  <si>
    <t>folk</t>
  </si>
  <si>
    <t>民族</t>
  </si>
  <si>
    <t>explosion</t>
  </si>
  <si>
    <t>爆発</t>
  </si>
  <si>
    <t>portion</t>
  </si>
  <si>
    <t>部分</t>
  </si>
  <si>
    <t>organism</t>
  </si>
  <si>
    <t>merchant</t>
  </si>
  <si>
    <t>商人</t>
  </si>
  <si>
    <t>myth</t>
  </si>
  <si>
    <t>神話</t>
  </si>
  <si>
    <t>incident</t>
  </si>
  <si>
    <t>出来事</t>
  </si>
  <si>
    <t>wildlife</t>
  </si>
  <si>
    <t>野生生物</t>
  </si>
  <si>
    <t>congress</t>
  </si>
  <si>
    <t>議会</t>
  </si>
  <si>
    <t>bay</t>
  </si>
  <si>
    <t>湾</t>
  </si>
  <si>
    <t>penalty</t>
  </si>
  <si>
    <t>刑</t>
  </si>
  <si>
    <t>heritage</t>
  </si>
  <si>
    <t>遺産</t>
  </si>
  <si>
    <t>diversity</t>
  </si>
  <si>
    <t>多様性</t>
  </si>
  <si>
    <t>thumb</t>
  </si>
  <si>
    <t>親指</t>
  </si>
  <si>
    <t>geography</t>
  </si>
  <si>
    <t>地理</t>
  </si>
  <si>
    <t>factor</t>
  </si>
  <si>
    <t>要因</t>
  </si>
  <si>
    <t>discrimination</t>
  </si>
  <si>
    <t>差別</t>
  </si>
  <si>
    <t>virus</t>
  </si>
  <si>
    <t>ウイルス</t>
  </si>
  <si>
    <t>statue</t>
  </si>
  <si>
    <t>像</t>
  </si>
  <si>
    <t>priest</t>
  </si>
  <si>
    <t>神父</t>
  </si>
  <si>
    <t>pioneer</t>
  </si>
  <si>
    <t>先駆者</t>
  </si>
  <si>
    <t>trait</t>
  </si>
  <si>
    <t>bond</t>
  </si>
  <si>
    <t>きずな</t>
  </si>
  <si>
    <t>grocery</t>
  </si>
  <si>
    <t>食料品</t>
  </si>
  <si>
    <t>secretary</t>
  </si>
  <si>
    <t>秘書</t>
  </si>
  <si>
    <t>dialect</t>
  </si>
  <si>
    <t>方言</t>
  </si>
  <si>
    <t>astronomy</t>
  </si>
  <si>
    <t>天文学</t>
  </si>
  <si>
    <t>youngster</t>
  </si>
  <si>
    <t>子供</t>
  </si>
  <si>
    <t>substance</t>
  </si>
  <si>
    <t>finding</t>
  </si>
  <si>
    <t>発見</t>
  </si>
  <si>
    <t>strategy</t>
  </si>
  <si>
    <t>戦略</t>
  </si>
  <si>
    <t>lung</t>
  </si>
  <si>
    <t>肺</t>
  </si>
  <si>
    <t>opponent</t>
  </si>
  <si>
    <t>ritual</t>
  </si>
  <si>
    <t>儀式</t>
  </si>
  <si>
    <t>outcome</t>
  </si>
  <si>
    <t>conservation</t>
  </si>
  <si>
    <t>環境保護</t>
  </si>
  <si>
    <t>mammal</t>
  </si>
  <si>
    <t>哺乳類</t>
  </si>
  <si>
    <t>telescope</t>
  </si>
  <si>
    <t>望遠鏡</t>
  </si>
  <si>
    <t>refugee</t>
  </si>
  <si>
    <t>難民</t>
  </si>
  <si>
    <t>code</t>
  </si>
  <si>
    <t>規則</t>
  </si>
  <si>
    <t>flavor</t>
  </si>
  <si>
    <t>風味</t>
  </si>
  <si>
    <t>particle</t>
  </si>
  <si>
    <t>粒子</t>
  </si>
  <si>
    <t>nursing</t>
  </si>
  <si>
    <t>看護</t>
  </si>
  <si>
    <t>suicide</t>
  </si>
  <si>
    <t>自殺</t>
  </si>
  <si>
    <t>habitat</t>
  </si>
  <si>
    <t>生息地</t>
  </si>
  <si>
    <t>bullying</t>
  </si>
  <si>
    <t>いじめ</t>
  </si>
  <si>
    <t>dinosaur</t>
  </si>
  <si>
    <t>恐竜</t>
  </si>
  <si>
    <t>council</t>
  </si>
  <si>
    <t>gender</t>
  </si>
  <si>
    <t>性別</t>
  </si>
  <si>
    <t>surgery</t>
  </si>
  <si>
    <t>手術</t>
  </si>
  <si>
    <t>innovation</t>
  </si>
  <si>
    <t>革新</t>
  </si>
  <si>
    <t>protein</t>
  </si>
  <si>
    <t>タンパク質</t>
  </si>
  <si>
    <t>nutrition</t>
  </si>
  <si>
    <t>栄養</t>
  </si>
  <si>
    <t>disaster</t>
  </si>
  <si>
    <t>災害</t>
  </si>
  <si>
    <t>emission</t>
  </si>
  <si>
    <t>排出</t>
  </si>
  <si>
    <t>ape</t>
  </si>
  <si>
    <t>類人猿</t>
  </si>
  <si>
    <t>molecule</t>
  </si>
  <si>
    <t>分子</t>
  </si>
  <si>
    <t>sweat</t>
  </si>
  <si>
    <t>汗</t>
  </si>
  <si>
    <t>transplant</t>
  </si>
  <si>
    <t>移植</t>
  </si>
  <si>
    <t>species</t>
  </si>
  <si>
    <t>tip</t>
  </si>
  <si>
    <t>先</t>
  </si>
  <si>
    <t>cattle</t>
  </si>
  <si>
    <t>牛</t>
  </si>
  <si>
    <t>density</t>
  </si>
  <si>
    <t>密度</t>
  </si>
  <si>
    <t>concept</t>
  </si>
  <si>
    <t>pale</t>
  </si>
  <si>
    <t>青白い</t>
  </si>
  <si>
    <t>precious</t>
  </si>
  <si>
    <t>貴重な</t>
  </si>
  <si>
    <t>loyal</t>
  </si>
  <si>
    <t>忠実な</t>
  </si>
  <si>
    <t>isolated</t>
  </si>
  <si>
    <t>孤立している</t>
  </si>
  <si>
    <t>generous</t>
  </si>
  <si>
    <t>気前のよい</t>
  </si>
  <si>
    <t>tropical</t>
  </si>
  <si>
    <t>熱帯</t>
  </si>
  <si>
    <t>reluctant</t>
  </si>
  <si>
    <t>したがらない</t>
  </si>
  <si>
    <t>vague</t>
  </si>
  <si>
    <t>漠然とした</t>
  </si>
  <si>
    <t>vast</t>
  </si>
  <si>
    <t>広大な</t>
  </si>
  <si>
    <t>numerous</t>
  </si>
  <si>
    <t>たくさんの</t>
  </si>
  <si>
    <t>rural</t>
  </si>
  <si>
    <t>田舎の</t>
  </si>
  <si>
    <t>widespread</t>
  </si>
  <si>
    <t>広まっている</t>
  </si>
  <si>
    <t>complicated</t>
  </si>
  <si>
    <t>visible</t>
  </si>
  <si>
    <t>目に見える</t>
  </si>
  <si>
    <t>raw</t>
  </si>
  <si>
    <t>生の</t>
  </si>
  <si>
    <t>remote</t>
  </si>
  <si>
    <t>へんぴな</t>
  </si>
  <si>
    <t>urgent</t>
  </si>
  <si>
    <t>緊急の</t>
  </si>
  <si>
    <t>silly</t>
  </si>
  <si>
    <t>striking</t>
  </si>
  <si>
    <t>いちじるしい</t>
  </si>
  <si>
    <t>adequate</t>
  </si>
  <si>
    <t>extraordinary</t>
  </si>
  <si>
    <t>並外れた</t>
  </si>
  <si>
    <t>odd</t>
  </si>
  <si>
    <t>おかしな</t>
  </si>
  <si>
    <t>abstract</t>
  </si>
  <si>
    <t>抽象的な</t>
  </si>
  <si>
    <t>mutual</t>
  </si>
  <si>
    <t>相互の</t>
  </si>
  <si>
    <t>excessive</t>
  </si>
  <si>
    <t>過度の</t>
  </si>
  <si>
    <t>ashamed</t>
  </si>
  <si>
    <t>恥ずかしい</t>
  </si>
  <si>
    <t>tremendous</t>
  </si>
  <si>
    <t>とてつもない</t>
  </si>
  <si>
    <t>inevitable</t>
  </si>
  <si>
    <t>避けられない</t>
  </si>
  <si>
    <t>pure</t>
  </si>
  <si>
    <t>純</t>
  </si>
  <si>
    <t>stable</t>
  </si>
  <si>
    <t>安定した</t>
  </si>
  <si>
    <t>indifferent</t>
  </si>
  <si>
    <t>無関心だ</t>
  </si>
  <si>
    <t>aggressive</t>
  </si>
  <si>
    <t>攻撃的な</t>
  </si>
  <si>
    <t>ultimate</t>
  </si>
  <si>
    <t>究極の</t>
  </si>
  <si>
    <t>shy</t>
  </si>
  <si>
    <t>内気な</t>
  </si>
  <si>
    <t>solar</t>
  </si>
  <si>
    <t>太陽</t>
  </si>
  <si>
    <t>profound</t>
  </si>
  <si>
    <t>深い</t>
  </si>
  <si>
    <t>subtle</t>
  </si>
  <si>
    <t>微妙な</t>
  </si>
  <si>
    <t>conservative</t>
  </si>
  <si>
    <t>保守</t>
  </si>
  <si>
    <t>brave</t>
  </si>
  <si>
    <t>勇敢な</t>
  </si>
  <si>
    <t>intense</t>
  </si>
  <si>
    <t>強烈な</t>
  </si>
  <si>
    <t>alcoholic</t>
  </si>
  <si>
    <t>アルコールの</t>
  </si>
  <si>
    <t>manual</t>
  </si>
  <si>
    <t>手を使う</t>
  </si>
  <si>
    <t>cruel</t>
  </si>
  <si>
    <t>残酷な</t>
  </si>
  <si>
    <t>rational</t>
  </si>
  <si>
    <t>理性的な</t>
  </si>
  <si>
    <t>initial</t>
  </si>
  <si>
    <t>最初の</t>
  </si>
  <si>
    <t>immune</t>
  </si>
  <si>
    <t>免疫</t>
  </si>
  <si>
    <t>linguistic</t>
  </si>
  <si>
    <t>言語の</t>
  </si>
  <si>
    <t>crucial</t>
  </si>
  <si>
    <t>重大な</t>
  </si>
  <si>
    <t>verbal</t>
  </si>
  <si>
    <t>言葉による</t>
  </si>
  <si>
    <t>optimistic</t>
  </si>
  <si>
    <t>楽観的な</t>
  </si>
  <si>
    <t>flexible</t>
  </si>
  <si>
    <t>柔軟な</t>
  </si>
  <si>
    <t>grateful</t>
  </si>
  <si>
    <t>感謝している</t>
  </si>
  <si>
    <t>lively</t>
  </si>
  <si>
    <t>生き生きとした</t>
  </si>
  <si>
    <t>overwhelming</t>
  </si>
  <si>
    <t>圧倒的な</t>
  </si>
  <si>
    <t>abundant</t>
  </si>
  <si>
    <t>豊富な</t>
  </si>
  <si>
    <t>selfish</t>
  </si>
  <si>
    <t>利己的な</t>
  </si>
  <si>
    <t>ugly</t>
  </si>
  <si>
    <t>みにくい</t>
  </si>
  <si>
    <t>racial</t>
  </si>
  <si>
    <t>人種の</t>
  </si>
  <si>
    <t>prominent</t>
  </si>
  <si>
    <t>有名な</t>
  </si>
  <si>
    <t>controversial</t>
  </si>
  <si>
    <t>物議を呼ぶ</t>
  </si>
  <si>
    <t>federal</t>
  </si>
  <si>
    <t>連邦の</t>
  </si>
  <si>
    <t>ridiculous</t>
  </si>
  <si>
    <t>ばかげた</t>
  </si>
  <si>
    <t>imaginary</t>
  </si>
  <si>
    <t>架空の</t>
  </si>
  <si>
    <t>harsh</t>
  </si>
  <si>
    <t>random</t>
  </si>
  <si>
    <t>無作為な</t>
  </si>
  <si>
    <t>adolescent</t>
  </si>
  <si>
    <t>思春期の</t>
  </si>
  <si>
    <t>up-to-date</t>
  </si>
  <si>
    <t>liberal</t>
  </si>
  <si>
    <t>自由主義の</t>
  </si>
  <si>
    <t>prior</t>
  </si>
  <si>
    <t>moderate</t>
  </si>
  <si>
    <t>適度な</t>
  </si>
  <si>
    <t>fluent</t>
  </si>
  <si>
    <t>流ちょうな</t>
  </si>
  <si>
    <t>elaborate</t>
  </si>
  <si>
    <t>手の込んだ</t>
  </si>
  <si>
    <t>incredible</t>
  </si>
  <si>
    <t>信じられない</t>
  </si>
  <si>
    <t>radical</t>
  </si>
  <si>
    <t>acid</t>
  </si>
  <si>
    <t>酸性の</t>
  </si>
  <si>
    <t>deaf</t>
  </si>
  <si>
    <t>耳が不自由な</t>
  </si>
  <si>
    <t>medieval</t>
  </si>
  <si>
    <t>中世の</t>
  </si>
  <si>
    <t>ecological</t>
  </si>
  <si>
    <t>生態</t>
  </si>
  <si>
    <t>slight</t>
  </si>
  <si>
    <t>少しの</t>
  </si>
  <si>
    <t>ignorant</t>
  </si>
  <si>
    <t>無知な</t>
  </si>
  <si>
    <t>cognitive</t>
  </si>
  <si>
    <t>認知</t>
  </si>
  <si>
    <t>absolutely</t>
  </si>
  <si>
    <t>絶対に</t>
  </si>
  <si>
    <t>virtually</t>
  </si>
  <si>
    <t>somewhat</t>
  </si>
  <si>
    <t>多少</t>
  </si>
  <si>
    <t>merely</t>
  </si>
  <si>
    <t>単に</t>
  </si>
  <si>
    <t>literally</t>
  </si>
  <si>
    <t>文字通り</t>
  </si>
  <si>
    <t>seemingly</t>
  </si>
  <si>
    <t>regardless</t>
  </si>
  <si>
    <t>関係なく</t>
  </si>
  <si>
    <t>thoroughly</t>
  </si>
  <si>
    <t>徹底的に</t>
  </si>
  <si>
    <t>submit</t>
  </si>
  <si>
    <t>Aに服従する、提出する</t>
  </si>
  <si>
    <t>tempt</t>
  </si>
  <si>
    <t>誘惑する、する気にさせる</t>
  </si>
  <si>
    <t>resign</t>
  </si>
  <si>
    <t>辞職する</t>
  </si>
  <si>
    <t>conform</t>
  </si>
  <si>
    <t>従う</t>
  </si>
  <si>
    <t>confine</t>
  </si>
  <si>
    <t>限定する</t>
  </si>
  <si>
    <t>assemble</t>
  </si>
  <si>
    <t>組み立てる</t>
  </si>
  <si>
    <t>dedicate</t>
  </si>
  <si>
    <t>ささげる</t>
  </si>
  <si>
    <t>advocate</t>
  </si>
  <si>
    <t>主張する</t>
  </si>
  <si>
    <t>thrive</t>
  </si>
  <si>
    <t>繁栄する</t>
  </si>
  <si>
    <t>provoke</t>
  </si>
  <si>
    <t>引き起こす</t>
  </si>
  <si>
    <t>dictate</t>
  </si>
  <si>
    <t>命じる、要求する、決定する</t>
  </si>
  <si>
    <t>exploit</t>
  </si>
  <si>
    <t>利用する、開発する</t>
  </si>
  <si>
    <t>surrender</t>
  </si>
  <si>
    <t>降伏する</t>
  </si>
  <si>
    <t>reproduce</t>
  </si>
  <si>
    <t>再生する、複製する、繁殖する[させる]</t>
  </si>
  <si>
    <t>acknowledge</t>
  </si>
  <si>
    <t>認める</t>
  </si>
  <si>
    <t>swell</t>
  </si>
  <si>
    <t>ふくらむ</t>
  </si>
  <si>
    <t>shed</t>
  </si>
  <si>
    <t>落とす</t>
  </si>
  <si>
    <t>wind</t>
  </si>
  <si>
    <t>曲がる</t>
  </si>
  <si>
    <t>cite</t>
  </si>
  <si>
    <t>引き合いに出す</t>
  </si>
  <si>
    <t>digest</t>
  </si>
  <si>
    <t>消化する</t>
  </si>
  <si>
    <t>skip</t>
  </si>
  <si>
    <t>とばす、抜かす</t>
  </si>
  <si>
    <t>bind</t>
  </si>
  <si>
    <t>縛る、束縛する</t>
  </si>
  <si>
    <t>dissolve</t>
  </si>
  <si>
    <t>溶解する</t>
  </si>
  <si>
    <t>implement</t>
  </si>
  <si>
    <t>実行する</t>
  </si>
  <si>
    <t>steer</t>
  </si>
  <si>
    <t>操縦する</t>
  </si>
  <si>
    <t>congratulate</t>
  </si>
  <si>
    <t>祝福する</t>
  </si>
  <si>
    <t>designate</t>
  </si>
  <si>
    <t>指定する</t>
  </si>
  <si>
    <t>violate</t>
  </si>
  <si>
    <t>破る、違反する</t>
  </si>
  <si>
    <t>presume</t>
  </si>
  <si>
    <t>推定する、思う</t>
  </si>
  <si>
    <t>recruit</t>
  </si>
  <si>
    <t>（新人を）入れる</t>
  </si>
  <si>
    <t>coincide</t>
  </si>
  <si>
    <t>同時に起きる、重なる</t>
  </si>
  <si>
    <t>enforce</t>
  </si>
  <si>
    <t>施行する</t>
  </si>
  <si>
    <t>displace</t>
  </si>
  <si>
    <t>とってかわる、故郷から追い出す</t>
  </si>
  <si>
    <t>shrink</t>
  </si>
  <si>
    <t>縮む、縮ませる、減る</t>
  </si>
  <si>
    <t>betray</t>
  </si>
  <si>
    <t>裏切る、もらす</t>
  </si>
  <si>
    <t>comprise</t>
  </si>
  <si>
    <t>構成される、構成する、占める</t>
  </si>
  <si>
    <t>indulge</t>
  </si>
  <si>
    <t>ふける</t>
  </si>
  <si>
    <t>penetrate</t>
  </si>
  <si>
    <t>入り込む</t>
  </si>
  <si>
    <t>devastate</t>
  </si>
  <si>
    <t>壊滅させる</t>
  </si>
  <si>
    <t>plunge</t>
  </si>
  <si>
    <t>突っ込む</t>
  </si>
  <si>
    <t>bounce</t>
  </si>
  <si>
    <t>はね返る</t>
  </si>
  <si>
    <t>contradict</t>
  </si>
  <si>
    <t>矛盾する</t>
  </si>
  <si>
    <t>prescribe</t>
  </si>
  <si>
    <t>処方する</t>
  </si>
  <si>
    <t>oppress</t>
  </si>
  <si>
    <t>しいたげる</t>
  </si>
  <si>
    <t>cherish</t>
  </si>
  <si>
    <t>胸に抱く</t>
  </si>
  <si>
    <t>illuminate</t>
  </si>
  <si>
    <t>照らす、解明する</t>
  </si>
  <si>
    <t>trigger</t>
  </si>
  <si>
    <t>きっかけになる</t>
  </si>
  <si>
    <t>commute</t>
  </si>
  <si>
    <t>通勤する、通学する</t>
  </si>
  <si>
    <t>induce</t>
  </si>
  <si>
    <t>誘う</t>
  </si>
  <si>
    <t>utilize</t>
  </si>
  <si>
    <t>利用する</t>
  </si>
  <si>
    <t>snap</t>
  </si>
  <si>
    <t>ポキンと折れる、ポキンと折る</t>
  </si>
  <si>
    <t>donate</t>
  </si>
  <si>
    <t>提供する</t>
  </si>
  <si>
    <t>hatch</t>
  </si>
  <si>
    <t>（卵?ヒナ）かえす、かえる</t>
  </si>
  <si>
    <t>enclose</t>
  </si>
  <si>
    <t>囲む</t>
  </si>
  <si>
    <t>prevail</t>
  </si>
  <si>
    <t>普及している、広まる</t>
  </si>
  <si>
    <t>sigh</t>
  </si>
  <si>
    <t>ため息をつく</t>
  </si>
  <si>
    <t>leak</t>
  </si>
  <si>
    <t>漏れる、漏らす</t>
  </si>
  <si>
    <t>compel</t>
  </si>
  <si>
    <t>強制する</t>
  </si>
  <si>
    <t>crush</t>
  </si>
  <si>
    <t>押しつぶす</t>
  </si>
  <si>
    <t>comprehend</t>
  </si>
  <si>
    <t>理解する</t>
  </si>
  <si>
    <t>negotiate</t>
  </si>
  <si>
    <t>交渉する</t>
  </si>
  <si>
    <t>persist</t>
  </si>
  <si>
    <t>持続する、残る</t>
  </si>
  <si>
    <t>multiply</t>
  </si>
  <si>
    <t>増やす、増える、掛ける</t>
  </si>
  <si>
    <t>conceive</t>
  </si>
  <si>
    <t>想像する</t>
  </si>
  <si>
    <t>compensate</t>
  </si>
  <si>
    <t>埋め合わせる</t>
  </si>
  <si>
    <t>suspend</t>
  </si>
  <si>
    <t>中止する、つるす</t>
  </si>
  <si>
    <t>stir</t>
  </si>
  <si>
    <t>かきたてる</t>
  </si>
  <si>
    <t>soak</t>
  </si>
  <si>
    <t>浸す、びしょぬれにする、吸収する</t>
  </si>
  <si>
    <t>refine</t>
  </si>
  <si>
    <t>洗練する、磨きをかける</t>
  </si>
  <si>
    <t>arouse</t>
  </si>
  <si>
    <t>刺激する、かき立てる</t>
  </si>
  <si>
    <t>precede</t>
  </si>
  <si>
    <t>先行する</t>
  </si>
  <si>
    <t>render</t>
  </si>
  <si>
    <t>OをCにする、変える</t>
  </si>
  <si>
    <t>mount</t>
  </si>
  <si>
    <t>すえつける、乗る</t>
  </si>
  <si>
    <t>retreat</t>
  </si>
  <si>
    <t>退く</t>
  </si>
  <si>
    <t>startle</t>
  </si>
  <si>
    <t>驚かせる</t>
  </si>
  <si>
    <t>dare</t>
  </si>
  <si>
    <t>する勇気がある</t>
  </si>
  <si>
    <t>sphere</t>
  </si>
  <si>
    <t>領域、範囲</t>
  </si>
  <si>
    <t>sequence</t>
  </si>
  <si>
    <t>連続、順番、順序</t>
  </si>
  <si>
    <t>deposit</t>
  </si>
  <si>
    <t>預金、頭金、堆積物</t>
  </si>
  <si>
    <t>poll</t>
  </si>
  <si>
    <t>世論調査、投票</t>
  </si>
  <si>
    <t>caution</t>
  </si>
  <si>
    <t>用心</t>
  </si>
  <si>
    <t>rage</t>
  </si>
  <si>
    <t>激怒、怒り</t>
  </si>
  <si>
    <t>formula</t>
  </si>
  <si>
    <t>式、公式、方法、秘訣、解決策</t>
  </si>
  <si>
    <t>plot</t>
  </si>
  <si>
    <t>筋、たくらみ、陰謀</t>
  </si>
  <si>
    <t>scope</t>
  </si>
  <si>
    <t>norm</t>
  </si>
  <si>
    <t>規範</t>
  </si>
  <si>
    <t>disgust</t>
  </si>
  <si>
    <t>嫌悪</t>
  </si>
  <si>
    <t>compromise</t>
  </si>
  <si>
    <t>妥協</t>
  </si>
  <si>
    <t>supervisor</t>
  </si>
  <si>
    <t>監督者</t>
  </si>
  <si>
    <t>paradox</t>
  </si>
  <si>
    <t>逆説</t>
  </si>
  <si>
    <t>tissue</t>
  </si>
  <si>
    <t>（生物の）組織；ティッシュペーパー</t>
  </si>
  <si>
    <t>breakdown</t>
  </si>
  <si>
    <t>崩壊</t>
  </si>
  <si>
    <t>Initiative</t>
  </si>
  <si>
    <t>構想、主導権、</t>
  </si>
  <si>
    <t>fabric</t>
  </si>
  <si>
    <t>織物、布</t>
  </si>
  <si>
    <t>publicity</t>
  </si>
  <si>
    <t>宣伝、広告</t>
  </si>
  <si>
    <t>summit</t>
  </si>
  <si>
    <t>頂上、頂点、首脳会議</t>
  </si>
  <si>
    <t>flock</t>
  </si>
  <si>
    <t>群れ</t>
  </si>
  <si>
    <t>plague</t>
  </si>
  <si>
    <t>疫病</t>
  </si>
  <si>
    <t>haste</t>
  </si>
  <si>
    <t>急ぐこと</t>
  </si>
  <si>
    <t>nap</t>
  </si>
  <si>
    <t>うたた寝</t>
  </si>
  <si>
    <t>ally</t>
  </si>
  <si>
    <t>同盟国</t>
  </si>
  <si>
    <t>draft</t>
  </si>
  <si>
    <t>下書き、草稿</t>
  </si>
  <si>
    <t>spectacle</t>
  </si>
  <si>
    <t>光景</t>
  </si>
  <si>
    <t>premise</t>
  </si>
  <si>
    <t>前提</t>
  </si>
  <si>
    <t>asset</t>
  </si>
  <si>
    <t>lag</t>
  </si>
  <si>
    <t>遅れ</t>
  </si>
  <si>
    <t>therapy</t>
  </si>
  <si>
    <t>療法、治療法</t>
  </si>
  <si>
    <t>reception</t>
  </si>
  <si>
    <t>もてなし</t>
  </si>
  <si>
    <t>compound</t>
  </si>
  <si>
    <t>化合物</t>
  </si>
  <si>
    <t>blessing</t>
  </si>
  <si>
    <t>ありがたいもの、恵み</t>
  </si>
  <si>
    <t>sensation</t>
  </si>
  <si>
    <t>感覚、感じ</t>
  </si>
  <si>
    <t>recession</t>
  </si>
  <si>
    <t>不景気、不況</t>
  </si>
  <si>
    <t>pole</t>
  </si>
  <si>
    <t>棒、極</t>
  </si>
  <si>
    <t>outlook</t>
  </si>
  <si>
    <t>態度、考え方、見通し、見込み</t>
  </si>
  <si>
    <t>endeavor</t>
  </si>
  <si>
    <t>活動</t>
  </si>
  <si>
    <t>mercy</t>
  </si>
  <si>
    <t>慈悲、情け</t>
  </si>
  <si>
    <t>counterpart</t>
  </si>
  <si>
    <t>相当するもの</t>
  </si>
  <si>
    <t>session</t>
  </si>
  <si>
    <t>期間、討論</t>
  </si>
  <si>
    <t>spectrum</t>
  </si>
  <si>
    <t>変動範囲、領域</t>
  </si>
  <si>
    <t>junk</t>
  </si>
  <si>
    <t>くず、がらくた</t>
  </si>
  <si>
    <t>worship</t>
  </si>
  <si>
    <t>崇拝</t>
  </si>
  <si>
    <t>apt</t>
  </si>
  <si>
    <t>しがちである、する傾向がある</t>
  </si>
  <si>
    <t>humble</t>
  </si>
  <si>
    <t>謙虚な、粗末な</t>
  </si>
  <si>
    <t>entitled</t>
  </si>
  <si>
    <t>得る権利がある、題された</t>
  </si>
  <si>
    <t>valid</t>
  </si>
  <si>
    <t>妥当な、正当な</t>
  </si>
  <si>
    <t>faint</t>
  </si>
  <si>
    <t>かすかな</t>
  </si>
  <si>
    <t>stiff</t>
  </si>
  <si>
    <t>堅い</t>
  </si>
  <si>
    <t>obscure</t>
  </si>
  <si>
    <t>わかりにくい</t>
  </si>
  <si>
    <t>fierce</t>
  </si>
  <si>
    <t>激しい</t>
  </si>
  <si>
    <t>acute</t>
  </si>
  <si>
    <t>（問題が）深刻な、（感覚・痛みが）鋭い</t>
  </si>
  <si>
    <t>idle</t>
  </si>
  <si>
    <t>（仕事がなくて）何もしていない</t>
  </si>
  <si>
    <t>crude</t>
  </si>
  <si>
    <t>粗末な、粗野な</t>
  </si>
  <si>
    <t>jealous</t>
  </si>
  <si>
    <t>嫉妬深い、羨ましい</t>
  </si>
  <si>
    <t>pregnant</t>
  </si>
  <si>
    <t>妊娠している</t>
  </si>
  <si>
    <t>liable</t>
  </si>
  <si>
    <t>しがちである、可能性が高い</t>
  </si>
  <si>
    <t>stubborn</t>
  </si>
  <si>
    <t>頑固な</t>
  </si>
  <si>
    <t>decent</t>
  </si>
  <si>
    <t>まともな</t>
  </si>
  <si>
    <t>marvelous</t>
  </si>
  <si>
    <t>驚くべき</t>
  </si>
  <si>
    <t>misleading</t>
  </si>
  <si>
    <t>誤解を招く</t>
  </si>
  <si>
    <t>synthetic</t>
  </si>
  <si>
    <t>合成の</t>
  </si>
  <si>
    <t>classical</t>
  </si>
  <si>
    <t>クラシックの</t>
  </si>
  <si>
    <t>Muslim</t>
  </si>
  <si>
    <t>イスラム教の</t>
  </si>
  <si>
    <t>anticipate</t>
  </si>
  <si>
    <t>予想する</t>
  </si>
  <si>
    <t>rub</t>
  </si>
  <si>
    <t>こする</t>
  </si>
  <si>
    <t>dispose</t>
  </si>
  <si>
    <t>処理する</t>
  </si>
  <si>
    <t>refrain</t>
  </si>
  <si>
    <t>控える</t>
  </si>
  <si>
    <t>accumulate</t>
  </si>
  <si>
    <t>蓄積する</t>
  </si>
  <si>
    <t>boost</t>
  </si>
  <si>
    <t>活気づける</t>
  </si>
  <si>
    <t>drag</t>
  </si>
  <si>
    <t>引きずる</t>
  </si>
  <si>
    <t>revise</t>
  </si>
  <si>
    <t>修正する</t>
  </si>
  <si>
    <t>scratch</t>
  </si>
  <si>
    <t>かく</t>
  </si>
  <si>
    <t>roar</t>
  </si>
  <si>
    <t>ほえる</t>
  </si>
  <si>
    <t>quote</t>
  </si>
  <si>
    <t>引用する</t>
  </si>
  <si>
    <t>bloom</t>
  </si>
  <si>
    <t>咲く</t>
  </si>
  <si>
    <t>insert</t>
  </si>
  <si>
    <t>差し込む</t>
  </si>
  <si>
    <t>awaiting</t>
  </si>
  <si>
    <t>待つ</t>
  </si>
  <si>
    <t>dread</t>
  </si>
  <si>
    <t>恐れる</t>
  </si>
  <si>
    <t>conceal</t>
  </si>
  <si>
    <t>隠す</t>
  </si>
  <si>
    <t>enrich</t>
  </si>
  <si>
    <t>豊かにする</t>
  </si>
  <si>
    <t>cling</t>
  </si>
  <si>
    <t>固執する</t>
  </si>
  <si>
    <t>surpass</t>
  </si>
  <si>
    <t>まさる</t>
  </si>
  <si>
    <t>suppress</t>
  </si>
  <si>
    <t>抑える</t>
  </si>
  <si>
    <t>portray</t>
  </si>
  <si>
    <t>描く</t>
  </si>
  <si>
    <t>soaring</t>
  </si>
  <si>
    <t>急上昇する</t>
  </si>
  <si>
    <t>drain</t>
  </si>
  <si>
    <t>排出する</t>
  </si>
  <si>
    <t>glow</t>
  </si>
  <si>
    <t>ボーッと光る</t>
  </si>
  <si>
    <t>migrate</t>
  </si>
  <si>
    <t>移住する</t>
  </si>
  <si>
    <t>exclaim</t>
  </si>
  <si>
    <t>叫ぶ</t>
  </si>
  <si>
    <t>exert</t>
  </si>
  <si>
    <t>及ぼす</t>
  </si>
  <si>
    <t>disguise</t>
  </si>
  <si>
    <t>accelerate</t>
  </si>
  <si>
    <t>加速する</t>
  </si>
  <si>
    <t>dwell</t>
  </si>
  <si>
    <t>住む</t>
  </si>
  <si>
    <t>integrate</t>
  </si>
  <si>
    <t>融けこませる</t>
  </si>
  <si>
    <t>weep</t>
  </si>
  <si>
    <t>泣く</t>
  </si>
  <si>
    <t>reassure</t>
  </si>
  <si>
    <t>安心させる</t>
  </si>
  <si>
    <t>crawl</t>
  </si>
  <si>
    <t>はって進む</t>
  </si>
  <si>
    <t>restrain</t>
  </si>
  <si>
    <t>抑制する</t>
  </si>
  <si>
    <t>resent</t>
  </si>
  <si>
    <t>腹を立てる</t>
  </si>
  <si>
    <t>yell</t>
  </si>
  <si>
    <t>大声で叫ぶ</t>
  </si>
  <si>
    <t>assess</t>
  </si>
  <si>
    <t>評価する</t>
  </si>
  <si>
    <t>carve</t>
  </si>
  <si>
    <t>彫る</t>
  </si>
  <si>
    <t>halt</t>
  </si>
  <si>
    <t>止める</t>
  </si>
  <si>
    <t>inspect</t>
  </si>
  <si>
    <t>検査する</t>
  </si>
  <si>
    <t>tackle</t>
  </si>
  <si>
    <t>取り組む</t>
  </si>
  <si>
    <t>omit</t>
  </si>
  <si>
    <t>省く</t>
  </si>
  <si>
    <t>chew</t>
  </si>
  <si>
    <t>かむ</t>
  </si>
  <si>
    <t>resume</t>
  </si>
  <si>
    <t>再開する</t>
  </si>
  <si>
    <t>mold</t>
  </si>
  <si>
    <t>作る</t>
  </si>
  <si>
    <t>accommodate</t>
  </si>
  <si>
    <t>収容できる</t>
  </si>
  <si>
    <t>erase</t>
  </si>
  <si>
    <t>消す</t>
  </si>
  <si>
    <t>inferred</t>
  </si>
  <si>
    <t>推量する</t>
  </si>
  <si>
    <t>revive</t>
  </si>
  <si>
    <t>生き返らせる</t>
  </si>
  <si>
    <t>contemplate</t>
  </si>
  <si>
    <t>考える</t>
  </si>
  <si>
    <t>rotate</t>
  </si>
  <si>
    <t>回転する</t>
  </si>
  <si>
    <t>disrupt</t>
  </si>
  <si>
    <t>かき乱す</t>
  </si>
  <si>
    <t>navigate</t>
  </si>
  <si>
    <t>進路を決める</t>
  </si>
  <si>
    <t>ache</t>
  </si>
  <si>
    <t>痛む</t>
  </si>
  <si>
    <t>discard</t>
  </si>
  <si>
    <t>捨てる</t>
  </si>
  <si>
    <t>incorporate</t>
  </si>
  <si>
    <t>取り入れる</t>
  </si>
  <si>
    <t>overtake</t>
  </si>
  <si>
    <t>追い越す</t>
  </si>
  <si>
    <t>supplement</t>
  </si>
  <si>
    <t>補う</t>
  </si>
  <si>
    <t>manipulate</t>
  </si>
  <si>
    <t>操作する</t>
  </si>
  <si>
    <t>nourish</t>
  </si>
  <si>
    <t>養う</t>
  </si>
  <si>
    <t>squeeze</t>
  </si>
  <si>
    <t>しぼる</t>
  </si>
  <si>
    <t>depict</t>
  </si>
  <si>
    <t>distract</t>
  </si>
  <si>
    <t>そらす</t>
  </si>
  <si>
    <t>disclose</t>
  </si>
  <si>
    <t>暴露する</t>
  </si>
  <si>
    <t>enroll</t>
  </si>
  <si>
    <t>入学する</t>
  </si>
  <si>
    <t>nurture</t>
  </si>
  <si>
    <t>育てる</t>
  </si>
  <si>
    <t>speculate</t>
  </si>
  <si>
    <t>推測する</t>
  </si>
  <si>
    <t>prolong</t>
  </si>
  <si>
    <t>延ばす</t>
  </si>
  <si>
    <t>execute</t>
  </si>
  <si>
    <t>処刑する</t>
  </si>
  <si>
    <t>uncover</t>
  </si>
  <si>
    <t>明らかにする</t>
  </si>
  <si>
    <t>tremble</t>
  </si>
  <si>
    <t>震える</t>
  </si>
  <si>
    <t>seize</t>
  </si>
  <si>
    <t>つかむ</t>
  </si>
  <si>
    <t>abolish</t>
  </si>
  <si>
    <t>廃止する</t>
  </si>
  <si>
    <t>scold</t>
  </si>
  <si>
    <t>しかる</t>
  </si>
  <si>
    <t>attain</t>
  </si>
  <si>
    <t>達成する</t>
  </si>
  <si>
    <t>utter</t>
  </si>
  <si>
    <t>発する</t>
  </si>
  <si>
    <t>flee</t>
  </si>
  <si>
    <t>offending</t>
  </si>
  <si>
    <t>怒らせる</t>
  </si>
  <si>
    <t>confess</t>
  </si>
  <si>
    <t>告白する</t>
  </si>
  <si>
    <t>postpone</t>
  </si>
  <si>
    <t>延期する</t>
  </si>
  <si>
    <t>drift</t>
  </si>
  <si>
    <t>漂う</t>
  </si>
  <si>
    <t>weave</t>
  </si>
  <si>
    <t>織る</t>
  </si>
  <si>
    <t>install</t>
  </si>
  <si>
    <t>備えつける</t>
  </si>
  <si>
    <t>twist</t>
  </si>
  <si>
    <t>ねじ曲げる</t>
  </si>
  <si>
    <t>extract</t>
  </si>
  <si>
    <t>取り出す</t>
  </si>
  <si>
    <t>bump</t>
  </si>
  <si>
    <t>ぶつかる</t>
  </si>
  <si>
    <t>despise</t>
  </si>
  <si>
    <t>軽蔑する</t>
  </si>
  <si>
    <t>tolerate</t>
  </si>
  <si>
    <t>我慢する</t>
  </si>
  <si>
    <t>boast</t>
  </si>
  <si>
    <t>自慢する</t>
  </si>
  <si>
    <t>flourishing</t>
  </si>
  <si>
    <t>栄えている</t>
  </si>
  <si>
    <t>disregard</t>
  </si>
  <si>
    <t>無視する</t>
  </si>
  <si>
    <t>tease</t>
  </si>
  <si>
    <t>からかう</t>
  </si>
  <si>
    <t>reinforce</t>
  </si>
  <si>
    <t>強める</t>
  </si>
  <si>
    <t>strive</t>
  </si>
  <si>
    <t>努力する</t>
  </si>
  <si>
    <t>coordinate</t>
  </si>
  <si>
    <t>合わせる</t>
  </si>
  <si>
    <t>yawn</t>
  </si>
  <si>
    <t>あくびをする</t>
  </si>
  <si>
    <t>hug</t>
  </si>
  <si>
    <t>抱きしめる</t>
  </si>
  <si>
    <t>combat</t>
  </si>
  <si>
    <t>戦う</t>
  </si>
  <si>
    <t>knit</t>
  </si>
  <si>
    <t>編む</t>
  </si>
  <si>
    <t>fatigue</t>
  </si>
  <si>
    <t>疲労</t>
  </si>
  <si>
    <t>fame</t>
  </si>
  <si>
    <t>名声</t>
  </si>
  <si>
    <t>mess</t>
  </si>
  <si>
    <t>めちゃくちゃ</t>
  </si>
  <si>
    <t>dignity</t>
  </si>
  <si>
    <t>尊厳</t>
  </si>
  <si>
    <t>canal</t>
  </si>
  <si>
    <t>運河</t>
  </si>
  <si>
    <t>drought</t>
  </si>
  <si>
    <t>干ばつ</t>
  </si>
  <si>
    <t>despair</t>
  </si>
  <si>
    <t>絶望</t>
  </si>
  <si>
    <t>interval</t>
  </si>
  <si>
    <t>間隔</t>
  </si>
  <si>
    <t>luggage</t>
  </si>
  <si>
    <t>behalf</t>
  </si>
  <si>
    <t>代表して</t>
  </si>
  <si>
    <t>impulse</t>
  </si>
  <si>
    <t>衝動</t>
  </si>
  <si>
    <t>debris</t>
  </si>
  <si>
    <t>破片</t>
  </si>
  <si>
    <t>beast</t>
  </si>
  <si>
    <t>野獣</t>
  </si>
  <si>
    <t>superstition</t>
  </si>
  <si>
    <t>迷信</t>
  </si>
  <si>
    <t>illusion</t>
  </si>
  <si>
    <t>幻想、錯覚</t>
  </si>
  <si>
    <t>thread</t>
  </si>
  <si>
    <t>糸</t>
  </si>
  <si>
    <t>intake</t>
  </si>
  <si>
    <t>摂取量</t>
  </si>
  <si>
    <t>feast</t>
  </si>
  <si>
    <t>宴会</t>
  </si>
  <si>
    <t>transition</t>
  </si>
  <si>
    <t>移り変わり</t>
  </si>
  <si>
    <t>misery</t>
  </si>
  <si>
    <t>悲惨さ</t>
  </si>
  <si>
    <t>radiation</t>
  </si>
  <si>
    <t>放射線</t>
  </si>
  <si>
    <t>log</t>
  </si>
  <si>
    <t>丸太</t>
  </si>
  <si>
    <t>consensus</t>
  </si>
  <si>
    <t>合意</t>
  </si>
  <si>
    <t>deed</t>
  </si>
  <si>
    <t>行い</t>
  </si>
  <si>
    <t>proverb</t>
  </si>
  <si>
    <t>ことわざ</t>
  </si>
  <si>
    <t>compliment</t>
  </si>
  <si>
    <t>ほめ言葉</t>
  </si>
  <si>
    <t>flame</t>
  </si>
  <si>
    <t>炎</t>
  </si>
  <si>
    <t>anniversary</t>
  </si>
  <si>
    <t>記念日</t>
  </si>
  <si>
    <t>conscience</t>
  </si>
  <si>
    <t>良心</t>
  </si>
  <si>
    <t>expedition</t>
  </si>
  <si>
    <t>探検</t>
  </si>
  <si>
    <t>offspring</t>
  </si>
  <si>
    <t>子孫</t>
  </si>
  <si>
    <t>allowance</t>
  </si>
  <si>
    <t>こづかい</t>
  </si>
  <si>
    <t>headline</t>
  </si>
  <si>
    <t>大見出し</t>
  </si>
  <si>
    <t>treaty</t>
  </si>
  <si>
    <t>条約</t>
  </si>
  <si>
    <t>monument</t>
  </si>
  <si>
    <t>記念碑</t>
  </si>
  <si>
    <t>worm</t>
  </si>
  <si>
    <t>虫</t>
  </si>
  <si>
    <t>remedy</t>
  </si>
  <si>
    <t>治療法</t>
  </si>
  <si>
    <t>encyclopedia</t>
  </si>
  <si>
    <t>百科事典</t>
  </si>
  <si>
    <t>glimpse</t>
  </si>
  <si>
    <t>ちらり</t>
  </si>
  <si>
    <t>personnel</t>
  </si>
  <si>
    <t>職員</t>
  </si>
  <si>
    <t>triumph</t>
  </si>
  <si>
    <t>勝利</t>
  </si>
  <si>
    <t>arithmetic</t>
  </si>
  <si>
    <t>算数</t>
  </si>
  <si>
    <t>self-esteem</t>
  </si>
  <si>
    <t>自尊心</t>
  </si>
  <si>
    <t>microbe</t>
  </si>
  <si>
    <t>微生物</t>
  </si>
  <si>
    <t>odds</t>
  </si>
  <si>
    <t>可能性</t>
  </si>
  <si>
    <t>chaos</t>
  </si>
  <si>
    <t>混沌</t>
  </si>
  <si>
    <t>destiny</t>
  </si>
  <si>
    <t>diameter</t>
  </si>
  <si>
    <t>直径</t>
  </si>
  <si>
    <t>lottery</t>
  </si>
  <si>
    <t>宝くじ</t>
  </si>
  <si>
    <t>souvenir</t>
  </si>
  <si>
    <t>みやげ物</t>
  </si>
  <si>
    <t>trail</t>
  </si>
  <si>
    <t>小道</t>
  </si>
  <si>
    <t>ratio</t>
  </si>
  <si>
    <t>sword</t>
  </si>
  <si>
    <t>剣</t>
  </si>
  <si>
    <t>whistle</t>
  </si>
  <si>
    <t>笛</t>
  </si>
  <si>
    <t>sentiment</t>
  </si>
  <si>
    <t>chore</t>
  </si>
  <si>
    <t>雑用</t>
  </si>
  <si>
    <t>courtesy</t>
  </si>
  <si>
    <t>礼儀</t>
  </si>
  <si>
    <t>mayor</t>
  </si>
  <si>
    <t>市長</t>
  </si>
  <si>
    <t>surveillance</t>
  </si>
  <si>
    <t>監視、見張り</t>
  </si>
  <si>
    <t>trash</t>
  </si>
  <si>
    <t>prestige</t>
  </si>
  <si>
    <t>headquarters</t>
  </si>
  <si>
    <t>本部、本社</t>
  </si>
  <si>
    <t>wilderness</t>
  </si>
  <si>
    <t>荒野</t>
  </si>
  <si>
    <t>orbit</t>
  </si>
  <si>
    <t>軌道</t>
  </si>
  <si>
    <t>bias</t>
  </si>
  <si>
    <t>republic</t>
  </si>
  <si>
    <t>共和国</t>
  </si>
  <si>
    <t>bargain</t>
  </si>
  <si>
    <t>掘り出し物</t>
  </si>
  <si>
    <t>domain</t>
  </si>
  <si>
    <t>領域</t>
  </si>
  <si>
    <t>fragment</t>
  </si>
  <si>
    <t>galaxy</t>
  </si>
  <si>
    <t>星雲</t>
  </si>
  <si>
    <t>lap</t>
  </si>
  <si>
    <t>ひざ</t>
  </si>
  <si>
    <t>deadline</t>
  </si>
  <si>
    <t>締め切り</t>
  </si>
  <si>
    <t>bullet</t>
  </si>
  <si>
    <t>弾丸</t>
  </si>
  <si>
    <t>pedestrian</t>
  </si>
  <si>
    <t>歩行者</t>
  </si>
  <si>
    <t>wit</t>
  </si>
  <si>
    <t>機知</t>
  </si>
  <si>
    <t>nuisance</t>
  </si>
  <si>
    <t>迷惑</t>
  </si>
  <si>
    <t>criteria</t>
  </si>
  <si>
    <t>基準</t>
  </si>
  <si>
    <t>hardship</t>
  </si>
  <si>
    <t>苦難</t>
  </si>
  <si>
    <t>glory</t>
  </si>
  <si>
    <t>栄光</t>
  </si>
  <si>
    <t>pavement</t>
  </si>
  <si>
    <t>歩道</t>
  </si>
  <si>
    <t>navy</t>
  </si>
  <si>
    <t>海軍</t>
  </si>
  <si>
    <t>script</t>
  </si>
  <si>
    <t>台本</t>
  </si>
  <si>
    <t>pension</t>
  </si>
  <si>
    <t>年金</t>
  </si>
  <si>
    <t>province</t>
  </si>
  <si>
    <t>州</t>
  </si>
  <si>
    <t>surplus</t>
  </si>
  <si>
    <t>余剰</t>
  </si>
  <si>
    <t>moisture</t>
  </si>
  <si>
    <t>水分</t>
  </si>
  <si>
    <t>patch</t>
  </si>
  <si>
    <t>あて布</t>
  </si>
  <si>
    <t>altitude</t>
  </si>
  <si>
    <t>高度、標高</t>
  </si>
  <si>
    <t>thermometer</t>
  </si>
  <si>
    <t>温度計</t>
  </si>
  <si>
    <t>tuition</t>
  </si>
  <si>
    <t>授業料</t>
  </si>
  <si>
    <t>troop</t>
  </si>
  <si>
    <t>軍隊</t>
  </si>
  <si>
    <t>primate</t>
  </si>
  <si>
    <t>霊長類</t>
  </si>
  <si>
    <t>flaw</t>
  </si>
  <si>
    <t>欠陥</t>
  </si>
  <si>
    <t>nephew</t>
  </si>
  <si>
    <t>甥</t>
  </si>
  <si>
    <t>garment</t>
  </si>
  <si>
    <t>衣服、衣類</t>
  </si>
  <si>
    <t>diagnosis</t>
  </si>
  <si>
    <t>診断</t>
  </si>
  <si>
    <t>commerce</t>
  </si>
  <si>
    <t>商業</t>
  </si>
  <si>
    <t>antiquity</t>
  </si>
  <si>
    <t>古代、古物</t>
  </si>
  <si>
    <t>fraction</t>
  </si>
  <si>
    <t>ほんの一部</t>
  </si>
  <si>
    <t>irony</t>
  </si>
  <si>
    <t>皮肉</t>
  </si>
  <si>
    <t>nightmare</t>
  </si>
  <si>
    <t>悪夢</t>
  </si>
  <si>
    <t>defect</t>
  </si>
  <si>
    <t>certificate</t>
  </si>
  <si>
    <t>証明書</t>
  </si>
  <si>
    <t>decay</t>
  </si>
  <si>
    <t>腐敗</t>
  </si>
  <si>
    <t>erosion</t>
  </si>
  <si>
    <t>浸食</t>
  </si>
  <si>
    <t>recipe</t>
  </si>
  <si>
    <t>秘けつ</t>
  </si>
  <si>
    <t>skeleton</t>
  </si>
  <si>
    <t>骨格</t>
  </si>
  <si>
    <t>grace</t>
  </si>
  <si>
    <t>優雅さ</t>
  </si>
  <si>
    <t>landmark</t>
  </si>
  <si>
    <t>名所</t>
  </si>
  <si>
    <t>dementia</t>
  </si>
  <si>
    <t>認知症</t>
  </si>
  <si>
    <t>flesh</t>
  </si>
  <si>
    <t>肉</t>
  </si>
  <si>
    <t>collision</t>
  </si>
  <si>
    <t>衝突、対立</t>
  </si>
  <si>
    <t>hazard</t>
  </si>
  <si>
    <t>危険なもの</t>
  </si>
  <si>
    <t>tomb</t>
  </si>
  <si>
    <t>墓</t>
  </si>
  <si>
    <t>injection</t>
  </si>
  <si>
    <t>注射</t>
  </si>
  <si>
    <t>breakthrough</t>
  </si>
  <si>
    <t>飛躍的進歩</t>
  </si>
  <si>
    <t>leather</t>
  </si>
  <si>
    <t>革</t>
  </si>
  <si>
    <t>jewelry</t>
  </si>
  <si>
    <t>宝石</t>
  </si>
  <si>
    <t>cue</t>
  </si>
  <si>
    <t>合図</t>
  </si>
  <si>
    <t>ambulance</t>
  </si>
  <si>
    <t>救急車</t>
  </si>
  <si>
    <t>estate</t>
  </si>
  <si>
    <t>不動産</t>
  </si>
  <si>
    <t>commodity</t>
  </si>
  <si>
    <t>departure</t>
  </si>
  <si>
    <t>出発</t>
  </si>
  <si>
    <t>phase</t>
  </si>
  <si>
    <t>段階</t>
  </si>
  <si>
    <t>thief</t>
  </si>
  <si>
    <t>泥棒</t>
  </si>
  <si>
    <t>saint</t>
  </si>
  <si>
    <t>聖</t>
  </si>
  <si>
    <t>sculpture</t>
  </si>
  <si>
    <t>彫刻</t>
  </si>
  <si>
    <t>grief</t>
  </si>
  <si>
    <t>lane</t>
  </si>
  <si>
    <t>車線</t>
  </si>
  <si>
    <t>predator</t>
  </si>
  <si>
    <t>捕食動物</t>
  </si>
  <si>
    <t>fluid</t>
  </si>
  <si>
    <t>流体</t>
  </si>
  <si>
    <t>incentive</t>
  </si>
  <si>
    <t>はげみ</t>
  </si>
  <si>
    <t>bride</t>
  </si>
  <si>
    <t>花嫁</t>
  </si>
  <si>
    <t>intervention</t>
  </si>
  <si>
    <t>介入</t>
  </si>
  <si>
    <t>margin</t>
  </si>
  <si>
    <t>差</t>
  </si>
  <si>
    <t>biography</t>
  </si>
  <si>
    <t>伝記</t>
  </si>
  <si>
    <t>consent</t>
  </si>
  <si>
    <t>同意</t>
  </si>
  <si>
    <t>volcano</t>
  </si>
  <si>
    <t>火山</t>
  </si>
  <si>
    <t>rebel</t>
  </si>
  <si>
    <t>反逆者</t>
  </si>
  <si>
    <t>metaphor</t>
  </si>
  <si>
    <t>比喩</t>
  </si>
  <si>
    <t>legislation</t>
  </si>
  <si>
    <t>法律</t>
  </si>
  <si>
    <t>lightning</t>
  </si>
  <si>
    <t>雷</t>
  </si>
  <si>
    <t>pesticide</t>
  </si>
  <si>
    <t>殺虫剤</t>
  </si>
  <si>
    <t>column</t>
  </si>
  <si>
    <t>コラム</t>
  </si>
  <si>
    <t>rumor</t>
  </si>
  <si>
    <t>うわさ</t>
  </si>
  <si>
    <t>dust</t>
  </si>
  <si>
    <t>ほこり</t>
  </si>
  <si>
    <t>dialogue</t>
  </si>
  <si>
    <t>対話</t>
  </si>
  <si>
    <t>kindergarten</t>
  </si>
  <si>
    <t>幼稚園</t>
  </si>
  <si>
    <t>diabetes</t>
  </si>
  <si>
    <t>糖尿病</t>
  </si>
  <si>
    <t>obesity</t>
  </si>
  <si>
    <t>肥満</t>
  </si>
  <si>
    <t>patent</t>
  </si>
  <si>
    <t>特許</t>
  </si>
  <si>
    <t>chapter</t>
  </si>
  <si>
    <t>章</t>
  </si>
  <si>
    <t>palace</t>
  </si>
  <si>
    <t>宮殿</t>
  </si>
  <si>
    <t>laundry</t>
  </si>
  <si>
    <t>洗濯</t>
  </si>
  <si>
    <t>ward</t>
  </si>
  <si>
    <t>病棟</t>
  </si>
  <si>
    <t>outbreak</t>
  </si>
  <si>
    <t>ぼっ発</t>
  </si>
  <si>
    <t>equation</t>
  </si>
  <si>
    <t>方程式</t>
  </si>
  <si>
    <t>archaeologist</t>
  </si>
  <si>
    <t>考古学者</t>
  </si>
  <si>
    <t>corruption</t>
  </si>
  <si>
    <t>germ</t>
  </si>
  <si>
    <t>細菌</t>
  </si>
  <si>
    <t>revenue</t>
  </si>
  <si>
    <t>収入</t>
  </si>
  <si>
    <t>spouse</t>
  </si>
  <si>
    <t>配偶者</t>
  </si>
  <si>
    <t>epidemic</t>
  </si>
  <si>
    <t>流行</t>
  </si>
  <si>
    <t>mortality</t>
  </si>
  <si>
    <t>死亡</t>
  </si>
  <si>
    <t>syndrome</t>
  </si>
  <si>
    <t>症候群</t>
  </si>
  <si>
    <t>retail</t>
  </si>
  <si>
    <t>小売り</t>
  </si>
  <si>
    <t>dose</t>
  </si>
  <si>
    <t>beverage</t>
  </si>
  <si>
    <t>飲み物</t>
  </si>
  <si>
    <t>Metabolism</t>
  </si>
  <si>
    <t>新陳代謝</t>
  </si>
  <si>
    <t>hybrid</t>
  </si>
  <si>
    <t>交配種</t>
  </si>
  <si>
    <t>scent</t>
  </si>
  <si>
    <t>香り</t>
  </si>
  <si>
    <t>inflammation</t>
  </si>
  <si>
    <t>炎症</t>
  </si>
  <si>
    <t>pill</t>
  </si>
  <si>
    <t>薬</t>
  </si>
  <si>
    <t>grave</t>
  </si>
  <si>
    <t>fertile</t>
  </si>
  <si>
    <t>肥えた</t>
  </si>
  <si>
    <t>hostile</t>
  </si>
  <si>
    <t>反感を持つ</t>
  </si>
  <si>
    <t>indispensable</t>
  </si>
  <si>
    <t>不可欠な</t>
  </si>
  <si>
    <t>oriented</t>
  </si>
  <si>
    <t>志向の</t>
  </si>
  <si>
    <t>splendid</t>
  </si>
  <si>
    <t>competent</t>
  </si>
  <si>
    <t>有能な</t>
  </si>
  <si>
    <t>supreme</t>
  </si>
  <si>
    <t>最高の</t>
  </si>
  <si>
    <t>straightforward</t>
  </si>
  <si>
    <t>わかりやすい</t>
  </si>
  <si>
    <t>sacred</t>
  </si>
  <si>
    <t>bold</t>
  </si>
  <si>
    <t>大胆な</t>
  </si>
  <si>
    <t>uneasy</t>
  </si>
  <si>
    <t>不安な</t>
  </si>
  <si>
    <t>neat</t>
  </si>
  <si>
    <t>きちんとした</t>
  </si>
  <si>
    <t>shallow</t>
  </si>
  <si>
    <t>浅い</t>
  </si>
  <si>
    <t>fake</t>
  </si>
  <si>
    <t>偽物の</t>
  </si>
  <si>
    <t>superficial</t>
  </si>
  <si>
    <t>表面的な</t>
  </si>
  <si>
    <t>absurd</t>
  </si>
  <si>
    <t>fragile</t>
  </si>
  <si>
    <t>壊れやすい</t>
  </si>
  <si>
    <t>respectable</t>
  </si>
  <si>
    <t>ちゃんとした</t>
  </si>
  <si>
    <t>magnificent</t>
  </si>
  <si>
    <t>infinite</t>
  </si>
  <si>
    <t>無限の</t>
  </si>
  <si>
    <t>comprehensive</t>
  </si>
  <si>
    <t>包括的な</t>
  </si>
  <si>
    <t>steep</t>
  </si>
  <si>
    <t>険しい</t>
  </si>
  <si>
    <t>gross</t>
  </si>
  <si>
    <t>総</t>
  </si>
  <si>
    <t>subsequent</t>
  </si>
  <si>
    <t>次に起こる</t>
  </si>
  <si>
    <t>sincere</t>
  </si>
  <si>
    <t>心からの</t>
  </si>
  <si>
    <t>toxic</t>
  </si>
  <si>
    <t>有毒な</t>
  </si>
  <si>
    <t>neutral</t>
  </si>
  <si>
    <t>中立の</t>
  </si>
  <si>
    <t>diligent</t>
  </si>
  <si>
    <t>勤勉な</t>
  </si>
  <si>
    <t>sore</t>
  </si>
  <si>
    <t>痛い</t>
  </si>
  <si>
    <t>contaminated</t>
  </si>
  <si>
    <t>汚染された</t>
  </si>
  <si>
    <t>ambiguous</t>
  </si>
  <si>
    <t>あいまいな</t>
  </si>
  <si>
    <t>oral</t>
  </si>
  <si>
    <t>口述の</t>
  </si>
  <si>
    <t>restless</t>
  </si>
  <si>
    <t>落ち着かない</t>
  </si>
  <si>
    <t>rotten</t>
  </si>
  <si>
    <t>腐った</t>
  </si>
  <si>
    <t>vigorous</t>
  </si>
  <si>
    <t>精力的な</t>
  </si>
  <si>
    <t>immense</t>
  </si>
  <si>
    <t>metropolitan</t>
  </si>
  <si>
    <t>大都市の</t>
  </si>
  <si>
    <t>punctual</t>
  </si>
  <si>
    <t>時間をきっちり守る</t>
  </si>
  <si>
    <t>solitary</t>
  </si>
  <si>
    <t>孤独な</t>
  </si>
  <si>
    <t>collective</t>
  </si>
  <si>
    <t>集団</t>
  </si>
  <si>
    <t>diplomatic</t>
  </si>
  <si>
    <t>外交の</t>
  </si>
  <si>
    <t>nasty</t>
  </si>
  <si>
    <t>不快な</t>
  </si>
  <si>
    <t>helpless</t>
  </si>
  <si>
    <t>無力な</t>
  </si>
  <si>
    <t>explicit</t>
  </si>
  <si>
    <t>明確な、はっきりした</t>
  </si>
  <si>
    <t>bankrupt</t>
  </si>
  <si>
    <t>破産した</t>
  </si>
  <si>
    <t>eternal</t>
  </si>
  <si>
    <t>永遠の</t>
  </si>
  <si>
    <t>sole</t>
  </si>
  <si>
    <t>唯一の</t>
  </si>
  <si>
    <t>sour</t>
  </si>
  <si>
    <t>すっぱい</t>
  </si>
  <si>
    <t>notable</t>
  </si>
  <si>
    <t>注目すべき</t>
  </si>
  <si>
    <t>affluent</t>
  </si>
  <si>
    <t>裕福な</t>
  </si>
  <si>
    <t>naked</t>
  </si>
  <si>
    <t>裸の</t>
  </si>
  <si>
    <t>vocal</t>
  </si>
  <si>
    <t>発声</t>
  </si>
  <si>
    <t>feminine</t>
  </si>
  <si>
    <t>女性の</t>
  </si>
  <si>
    <t>vacant</t>
  </si>
  <si>
    <t>空いている</t>
  </si>
  <si>
    <t>exotic</t>
  </si>
  <si>
    <t>外来の</t>
  </si>
  <si>
    <t>rigid</t>
  </si>
  <si>
    <t>厳格な</t>
  </si>
  <si>
    <t>humid</t>
  </si>
  <si>
    <t>蒸し暑い</t>
  </si>
  <si>
    <t>outstanding</t>
  </si>
  <si>
    <t>傑出した</t>
  </si>
  <si>
    <t>addicted</t>
  </si>
  <si>
    <t>中毒である</t>
  </si>
  <si>
    <t>vulnerable</t>
  </si>
  <si>
    <t>受けやすい</t>
  </si>
  <si>
    <t>spontaneous</t>
  </si>
  <si>
    <t>自然に起こる</t>
  </si>
  <si>
    <t>greedy</t>
  </si>
  <si>
    <t>貪欲な</t>
  </si>
  <si>
    <t>trivial</t>
  </si>
  <si>
    <t>ささいな</t>
  </si>
  <si>
    <t>per capita</t>
  </si>
  <si>
    <t>一人当たりの</t>
  </si>
  <si>
    <t>inherent</t>
  </si>
  <si>
    <t>元から伴う</t>
  </si>
  <si>
    <t>promising</t>
  </si>
  <si>
    <t>前途有望な</t>
  </si>
  <si>
    <t>physiological</t>
  </si>
  <si>
    <t>生理的な</t>
  </si>
  <si>
    <t>clinical</t>
  </si>
  <si>
    <t>臨床</t>
  </si>
  <si>
    <t>chronic</t>
  </si>
  <si>
    <t>慢性の</t>
  </si>
  <si>
    <t>geological</t>
  </si>
  <si>
    <t>地質学的な</t>
  </si>
  <si>
    <t>countless</t>
  </si>
  <si>
    <t>無数の</t>
  </si>
  <si>
    <t>innate</t>
  </si>
  <si>
    <t>先天的な</t>
  </si>
  <si>
    <t>alert</t>
  </si>
  <si>
    <t>用心する</t>
  </si>
  <si>
    <t>autonomous</t>
  </si>
  <si>
    <t>自動運転</t>
  </si>
  <si>
    <t>simultaneously</t>
  </si>
  <si>
    <t>同時に</t>
  </si>
  <si>
    <t>utterly</t>
  </si>
  <si>
    <t>まったく</t>
  </si>
  <si>
    <t>drastically</t>
  </si>
  <si>
    <t>劇的に</t>
  </si>
  <si>
    <t>necessarily</t>
  </si>
  <si>
    <t>必ずしも</t>
  </si>
  <si>
    <t>thereby</t>
  </si>
  <si>
    <t>そうすることで</t>
  </si>
  <si>
    <t>frankly</t>
  </si>
  <si>
    <t>率直に</t>
  </si>
  <si>
    <t>namely</t>
  </si>
  <si>
    <t>すなわち</t>
  </si>
  <si>
    <t>hence</t>
  </si>
  <si>
    <t>だから</t>
  </si>
  <si>
    <t>via</t>
  </si>
  <si>
    <t>経由で</t>
  </si>
  <si>
    <t>owing</t>
  </si>
  <si>
    <t>のために</t>
  </si>
  <si>
    <t>clarify</t>
  </si>
  <si>
    <t>smash</t>
  </si>
  <si>
    <t>粉々に砕く</t>
  </si>
  <si>
    <t>mourn</t>
  </si>
  <si>
    <t>悲しむ</t>
  </si>
  <si>
    <t>summon</t>
  </si>
  <si>
    <t>呼ぶ</t>
  </si>
  <si>
    <t>shatter</t>
  </si>
  <si>
    <t>粉々にする</t>
  </si>
  <si>
    <t>linger</t>
  </si>
  <si>
    <t>残る</t>
  </si>
  <si>
    <t>lament</t>
  </si>
  <si>
    <t>嘆く</t>
  </si>
  <si>
    <t>endowed</t>
  </si>
  <si>
    <t>恵まれる</t>
  </si>
  <si>
    <t>rejoice</t>
  </si>
  <si>
    <t>喜ぶ</t>
  </si>
  <si>
    <t>allocate</t>
  </si>
  <si>
    <t>配分する</t>
  </si>
  <si>
    <t>slap</t>
  </si>
  <si>
    <t>ピシャリと打つ</t>
  </si>
  <si>
    <t>contend</t>
  </si>
  <si>
    <t>swear</t>
  </si>
  <si>
    <t>誓う</t>
  </si>
  <si>
    <t>discern</t>
  </si>
  <si>
    <t>識別する</t>
  </si>
  <si>
    <t>degrade</t>
  </si>
  <si>
    <t>悪化させる</t>
  </si>
  <si>
    <t>erect</t>
  </si>
  <si>
    <t>築く</t>
  </si>
  <si>
    <t>testify</t>
  </si>
  <si>
    <t>証言する</t>
  </si>
  <si>
    <t>spur</t>
  </si>
  <si>
    <t>駆りたてる</t>
  </si>
  <si>
    <t>roam</t>
  </si>
  <si>
    <t>frown</t>
  </si>
  <si>
    <t>まゆをひそめる</t>
  </si>
  <si>
    <t>lure</t>
  </si>
  <si>
    <t>呼び込む</t>
  </si>
  <si>
    <t>defy</t>
  </si>
  <si>
    <t>逆らう</t>
  </si>
  <si>
    <t>stroll</t>
  </si>
  <si>
    <t>ぶらつく</t>
  </si>
  <si>
    <t>rattle</t>
  </si>
  <si>
    <t>がたがた鳴らす</t>
  </si>
  <si>
    <t>reconcile</t>
  </si>
  <si>
    <t>調和させる</t>
  </si>
  <si>
    <t>blur</t>
  </si>
  <si>
    <t>ぼやかす</t>
  </si>
  <si>
    <t>soothe</t>
  </si>
  <si>
    <t>なだめる</t>
  </si>
  <si>
    <t>impair</t>
  </si>
  <si>
    <t>低下させる</t>
  </si>
  <si>
    <t>comply</t>
  </si>
  <si>
    <t>pierce</t>
  </si>
  <si>
    <t>穴をあける</t>
  </si>
  <si>
    <t>stumble</t>
  </si>
  <si>
    <t>つまずく</t>
  </si>
  <si>
    <t>hinder</t>
  </si>
  <si>
    <t>さまたげる</t>
  </si>
  <si>
    <t>mock</t>
  </si>
  <si>
    <t>あざける</t>
  </si>
  <si>
    <t>embody</t>
  </si>
  <si>
    <t>具現する</t>
  </si>
  <si>
    <t>stalk</t>
  </si>
  <si>
    <t>忍び寄る</t>
  </si>
  <si>
    <t>proclaim</t>
  </si>
  <si>
    <t>宣言する</t>
  </si>
  <si>
    <t>applaud</t>
  </si>
  <si>
    <t>拍手する</t>
  </si>
  <si>
    <t>inflict</t>
  </si>
  <si>
    <t>与える</t>
  </si>
  <si>
    <t>merge</t>
  </si>
  <si>
    <t>合併する</t>
  </si>
  <si>
    <t>evacuated</t>
  </si>
  <si>
    <t>避難した</t>
  </si>
  <si>
    <t>undone</t>
  </si>
  <si>
    <t>元に戻る</t>
  </si>
  <si>
    <t>poke</t>
  </si>
  <si>
    <t>突く</t>
  </si>
  <si>
    <t>haunted</t>
  </si>
  <si>
    <t>つきまとわれる</t>
  </si>
  <si>
    <t>adhere</t>
  </si>
  <si>
    <t>固く守る</t>
  </si>
  <si>
    <t>compile</t>
  </si>
  <si>
    <t>まとめる</t>
  </si>
  <si>
    <t>wither</t>
  </si>
  <si>
    <t>しぼむ</t>
  </si>
  <si>
    <t>stun</t>
  </si>
  <si>
    <t>びっくりさせる</t>
  </si>
  <si>
    <t>choke</t>
  </si>
  <si>
    <t>のどがつまる</t>
  </si>
  <si>
    <t>deteriorate</t>
  </si>
  <si>
    <t>悪化する</t>
  </si>
  <si>
    <t>dump</t>
  </si>
  <si>
    <t>murmur</t>
  </si>
  <si>
    <t>つぶやく</t>
  </si>
  <si>
    <t>delete</t>
  </si>
  <si>
    <t>削除する</t>
  </si>
  <si>
    <t>inhibit</t>
  </si>
  <si>
    <t>阻害する</t>
  </si>
  <si>
    <t>divert</t>
  </si>
  <si>
    <t>tame</t>
  </si>
  <si>
    <t>飼いならす</t>
  </si>
  <si>
    <t>reap</t>
  </si>
  <si>
    <t>手に入れる</t>
  </si>
  <si>
    <t>affirm</t>
  </si>
  <si>
    <t>断言する</t>
  </si>
  <si>
    <t>immersed</t>
  </si>
  <si>
    <t>浸る</t>
  </si>
  <si>
    <t>expire</t>
  </si>
  <si>
    <t>期限が切れる</t>
  </si>
  <si>
    <t>embark</t>
  </si>
  <si>
    <t>乗り出す</t>
  </si>
  <si>
    <t>vow</t>
  </si>
  <si>
    <t>foresee</t>
  </si>
  <si>
    <t>予知する</t>
  </si>
  <si>
    <t>adore</t>
  </si>
  <si>
    <t>崇拝する</t>
  </si>
  <si>
    <t>yearn</t>
  </si>
  <si>
    <t>切望する</t>
  </si>
  <si>
    <t>undermine</t>
  </si>
  <si>
    <t>弱める</t>
  </si>
  <si>
    <t>suck</t>
  </si>
  <si>
    <t>吸う</t>
  </si>
  <si>
    <t>pledge</t>
  </si>
  <si>
    <t>intrude</t>
  </si>
  <si>
    <t>立ち入る</t>
  </si>
  <si>
    <t>sue</t>
  </si>
  <si>
    <t>訴える</t>
  </si>
  <si>
    <t>distort</t>
  </si>
  <si>
    <t>歪曲する</t>
  </si>
  <si>
    <t>extinguish</t>
  </si>
  <si>
    <t>preach</t>
  </si>
  <si>
    <t>説教する</t>
  </si>
  <si>
    <t>curb</t>
  </si>
  <si>
    <t>withstand</t>
  </si>
  <si>
    <t>耐える</t>
  </si>
  <si>
    <t>dip</t>
  </si>
  <si>
    <t>浸す</t>
  </si>
  <si>
    <t>recite</t>
  </si>
  <si>
    <t>暗唱する</t>
  </si>
  <si>
    <t>thrust</t>
  </si>
  <si>
    <t>押し込む</t>
  </si>
  <si>
    <t>plead</t>
  </si>
  <si>
    <t>嘆願する</t>
  </si>
  <si>
    <t>humiliate</t>
  </si>
  <si>
    <t>恥をかかせる</t>
  </si>
  <si>
    <t>discharge</t>
  </si>
  <si>
    <t>放出する</t>
  </si>
  <si>
    <t>condemn</t>
  </si>
  <si>
    <t>非難する</t>
  </si>
  <si>
    <t>retrieve</t>
  </si>
  <si>
    <t>検索する</t>
  </si>
  <si>
    <t>shrug</t>
  </si>
  <si>
    <t>肩をすくめる</t>
  </si>
  <si>
    <t>evoke</t>
  </si>
  <si>
    <t>呼び起こす</t>
  </si>
  <si>
    <t>fetch</t>
  </si>
  <si>
    <t>取ってくる</t>
  </si>
  <si>
    <t>flatter</t>
  </si>
  <si>
    <t>お世辞を言う</t>
  </si>
  <si>
    <t>prose</t>
  </si>
  <si>
    <t>散文</t>
  </si>
  <si>
    <t>textile</t>
  </si>
  <si>
    <t>織物</t>
  </si>
  <si>
    <t>timber</t>
  </si>
  <si>
    <t>材木</t>
  </si>
  <si>
    <t>masterpiece</t>
  </si>
  <si>
    <t>傑作</t>
  </si>
  <si>
    <t>riot</t>
  </si>
  <si>
    <t>暴動</t>
  </si>
  <si>
    <t>carriage</t>
  </si>
  <si>
    <t>車両</t>
  </si>
  <si>
    <t>apparatus</t>
  </si>
  <si>
    <t>fuss</t>
  </si>
  <si>
    <t>大騒ぎ</t>
  </si>
  <si>
    <t>deficiency</t>
  </si>
  <si>
    <t>欠乏</t>
  </si>
  <si>
    <t>heir</t>
  </si>
  <si>
    <t>相続人</t>
  </si>
  <si>
    <t>equator</t>
  </si>
  <si>
    <t>赤道</t>
  </si>
  <si>
    <t>petroleum</t>
  </si>
  <si>
    <t>石油</t>
  </si>
  <si>
    <t>witch</t>
  </si>
  <si>
    <t>魔女</t>
  </si>
  <si>
    <t>vapor</t>
  </si>
  <si>
    <t>蒸気</t>
  </si>
  <si>
    <t>probe</t>
  </si>
  <si>
    <t>探査機</t>
  </si>
  <si>
    <t>expertise</t>
  </si>
  <si>
    <t>専門知識</t>
  </si>
  <si>
    <t>scorn</t>
  </si>
  <si>
    <t>軽蔑</t>
  </si>
  <si>
    <t>prophet</t>
  </si>
  <si>
    <t>預言者</t>
  </si>
  <si>
    <t>breeze</t>
  </si>
  <si>
    <t>そよ風</t>
  </si>
  <si>
    <t>sin</t>
  </si>
  <si>
    <t>罪</t>
  </si>
  <si>
    <t>surge</t>
  </si>
  <si>
    <t>急増</t>
  </si>
  <si>
    <t>complement</t>
  </si>
  <si>
    <t>補うもの</t>
  </si>
  <si>
    <t>queue</t>
  </si>
  <si>
    <t>stake</t>
  </si>
  <si>
    <t>賭け金</t>
  </si>
  <si>
    <t>ambassador</t>
  </si>
  <si>
    <t>大使</t>
  </si>
  <si>
    <t>jury</t>
  </si>
  <si>
    <t>陪審員</t>
  </si>
  <si>
    <t>cluster</t>
  </si>
  <si>
    <t>lump</t>
  </si>
  <si>
    <t>こぶ</t>
  </si>
  <si>
    <t>meadow</t>
  </si>
  <si>
    <t>牧草地</t>
  </si>
  <si>
    <t>feat</t>
  </si>
  <si>
    <t>偉業</t>
  </si>
  <si>
    <t>temperament</t>
  </si>
  <si>
    <t>気質</t>
  </si>
  <si>
    <t>chill</t>
  </si>
  <si>
    <t>寒気</t>
  </si>
  <si>
    <t>appliance</t>
  </si>
  <si>
    <t>predecessor</t>
  </si>
  <si>
    <t>前任者</t>
  </si>
  <si>
    <t>entity</t>
  </si>
  <si>
    <t>存在</t>
  </si>
  <si>
    <t>hospitality</t>
  </si>
  <si>
    <t>narrative</t>
  </si>
  <si>
    <t>segment</t>
  </si>
  <si>
    <t>部分、区分</t>
  </si>
  <si>
    <t>catastrophe</t>
  </si>
  <si>
    <t>大災害</t>
  </si>
  <si>
    <t>monarch</t>
  </si>
  <si>
    <t>君主、皇帝</t>
  </si>
  <si>
    <t>constraint</t>
  </si>
  <si>
    <t>制約</t>
  </si>
  <si>
    <t>amendment</t>
  </si>
  <si>
    <t>改正、修正</t>
  </si>
  <si>
    <t>cosmos</t>
  </si>
  <si>
    <t>aisle</t>
  </si>
  <si>
    <t>通路</t>
  </si>
  <si>
    <t>hierarchy</t>
  </si>
  <si>
    <t>階級制度</t>
  </si>
  <si>
    <t>toll</t>
  </si>
  <si>
    <t>通行料</t>
  </si>
  <si>
    <t>transaction</t>
  </si>
  <si>
    <t>取引</t>
  </si>
  <si>
    <t>burglar</t>
  </si>
  <si>
    <t>強盗</t>
  </si>
  <si>
    <t>tyranny</t>
  </si>
  <si>
    <t>圧政</t>
  </si>
  <si>
    <t>parasite</t>
  </si>
  <si>
    <t>寄生生物</t>
  </si>
  <si>
    <t>intuition</t>
  </si>
  <si>
    <t>直感</t>
  </si>
  <si>
    <t>communist</t>
  </si>
  <si>
    <t>共産主義の</t>
  </si>
  <si>
    <t>legacy</t>
  </si>
  <si>
    <t>vein</t>
  </si>
  <si>
    <t>静脈</t>
  </si>
  <si>
    <t>discourse</t>
  </si>
  <si>
    <t>論説</t>
  </si>
  <si>
    <t>dairy</t>
  </si>
  <si>
    <t>乳製品、酪農</t>
  </si>
  <si>
    <t>artifact</t>
  </si>
  <si>
    <t>工芸品</t>
  </si>
  <si>
    <t>outlet</t>
  </si>
  <si>
    <t>はけ口</t>
  </si>
  <si>
    <t>apprehension</t>
  </si>
  <si>
    <t>不安</t>
  </si>
  <si>
    <t>melancholy</t>
  </si>
  <si>
    <t>憂うつ</t>
  </si>
  <si>
    <t>novelty</t>
  </si>
  <si>
    <t>目新しさ</t>
  </si>
  <si>
    <t>specimen</t>
  </si>
  <si>
    <t>標本</t>
  </si>
  <si>
    <t>hygiene</t>
  </si>
  <si>
    <t>衛生</t>
  </si>
  <si>
    <t>tactics</t>
  </si>
  <si>
    <t>戦術</t>
  </si>
  <si>
    <t>monopoly</t>
  </si>
  <si>
    <t>独占</t>
  </si>
  <si>
    <t>token</t>
  </si>
  <si>
    <t>印</t>
  </si>
  <si>
    <t>aristocracy</t>
  </si>
  <si>
    <t>貴族階級</t>
  </si>
  <si>
    <t>revenge</t>
  </si>
  <si>
    <t>復讐</t>
  </si>
  <si>
    <t>activist</t>
  </si>
  <si>
    <t>活動家</t>
  </si>
  <si>
    <t>rhetoric</t>
  </si>
  <si>
    <t>美辞麗句</t>
  </si>
  <si>
    <t>entrepreneur</t>
  </si>
  <si>
    <t>起業家</t>
  </si>
  <si>
    <t>census</t>
  </si>
  <si>
    <t>国勢調査</t>
  </si>
  <si>
    <t>verge</t>
  </si>
  <si>
    <t>瀬戸際</t>
  </si>
  <si>
    <t>advent</t>
  </si>
  <si>
    <t>出現、到来</t>
  </si>
  <si>
    <t>analogy</t>
  </si>
  <si>
    <t>類似点</t>
  </si>
  <si>
    <t>irrigation</t>
  </si>
  <si>
    <t>灌漑</t>
  </si>
  <si>
    <t>coverage</t>
  </si>
  <si>
    <t>報道</t>
  </si>
  <si>
    <t>cuisine</t>
  </si>
  <si>
    <t>料理</t>
  </si>
  <si>
    <t>menace</t>
  </si>
  <si>
    <t>脅威</t>
  </si>
  <si>
    <t>peril</t>
  </si>
  <si>
    <t>limb</t>
  </si>
  <si>
    <t>手足</t>
  </si>
  <si>
    <t>assault</t>
  </si>
  <si>
    <t>攻撃</t>
  </si>
  <si>
    <t>hatred</t>
  </si>
  <si>
    <t>憎しみ</t>
  </si>
  <si>
    <t>autonomy</t>
  </si>
  <si>
    <t>自主性</t>
  </si>
  <si>
    <t>cram</t>
  </si>
  <si>
    <t>塾</t>
  </si>
  <si>
    <t>subsidy</t>
  </si>
  <si>
    <t>補助金</t>
  </si>
  <si>
    <t>empathy</t>
  </si>
  <si>
    <t>共感</t>
  </si>
  <si>
    <t>slang</t>
  </si>
  <si>
    <t>俗語</t>
  </si>
  <si>
    <t>posture</t>
  </si>
  <si>
    <t>姿勢</t>
  </si>
  <si>
    <t>Ideology</t>
  </si>
  <si>
    <t>イデオロギー</t>
  </si>
  <si>
    <t>curse</t>
  </si>
  <si>
    <t>災いのもと</t>
  </si>
  <si>
    <t>tumor</t>
  </si>
  <si>
    <t>腫瘍</t>
  </si>
  <si>
    <t>intersection</t>
  </si>
  <si>
    <t>交差点</t>
  </si>
  <si>
    <t>duration</t>
  </si>
  <si>
    <t>deforestation</t>
  </si>
  <si>
    <t>森林破壊</t>
  </si>
  <si>
    <t>precaution</t>
  </si>
  <si>
    <t>bunch</t>
  </si>
  <si>
    <t>ひとたばの</t>
  </si>
  <si>
    <t>shortcoming</t>
  </si>
  <si>
    <t>欠点</t>
  </si>
  <si>
    <t>aspiration</t>
  </si>
  <si>
    <t>psychiatrist</t>
  </si>
  <si>
    <t>精神科医</t>
  </si>
  <si>
    <t>shipping</t>
  </si>
  <si>
    <t>発送</t>
  </si>
  <si>
    <t>senator</t>
  </si>
  <si>
    <t>上院議員</t>
  </si>
  <si>
    <t>statesman</t>
  </si>
  <si>
    <t>政治家</t>
  </si>
  <si>
    <t>subordinate</t>
  </si>
  <si>
    <t>部下</t>
  </si>
  <si>
    <t>vacuum</t>
  </si>
  <si>
    <t>空白</t>
  </si>
  <si>
    <t>quest</t>
  </si>
  <si>
    <t>探究</t>
  </si>
  <si>
    <t>meditation</t>
  </si>
  <si>
    <t>瞑想</t>
  </si>
  <si>
    <t>subscriber</t>
  </si>
  <si>
    <t>加入者</t>
  </si>
  <si>
    <t>riddle</t>
  </si>
  <si>
    <t>謎</t>
  </si>
  <si>
    <t>rag</t>
  </si>
  <si>
    <t>ぼろ</t>
  </si>
  <si>
    <t>rust</t>
  </si>
  <si>
    <t>さび</t>
  </si>
  <si>
    <t>sanitation</t>
  </si>
  <si>
    <t>midst</t>
  </si>
  <si>
    <t>まっただ中</t>
  </si>
  <si>
    <t>mischief</t>
  </si>
  <si>
    <t>いたずら</t>
  </si>
  <si>
    <t>proficiency</t>
  </si>
  <si>
    <t>検定</t>
  </si>
  <si>
    <t>recollection</t>
  </si>
  <si>
    <t>記憶</t>
  </si>
  <si>
    <t>latitude</t>
  </si>
  <si>
    <t>緯</t>
  </si>
  <si>
    <t>friction</t>
  </si>
  <si>
    <t>摩擦</t>
  </si>
  <si>
    <t>botanist</t>
  </si>
  <si>
    <t>植物学者</t>
  </si>
  <si>
    <t>heredity</t>
  </si>
  <si>
    <t>遺伝</t>
  </si>
  <si>
    <t>contempt</t>
  </si>
  <si>
    <t>anatomy</t>
  </si>
  <si>
    <t>integrity</t>
  </si>
  <si>
    <t>誠実</t>
  </si>
  <si>
    <t>cargo</t>
  </si>
  <si>
    <t>貨物</t>
  </si>
  <si>
    <t>bribe</t>
  </si>
  <si>
    <t>わいろ</t>
  </si>
  <si>
    <t>eruption</t>
  </si>
  <si>
    <t>噴火</t>
  </si>
  <si>
    <t>funeral</t>
  </si>
  <si>
    <t>葬式</t>
  </si>
  <si>
    <t>deficit</t>
  </si>
  <si>
    <t>赤字</t>
  </si>
  <si>
    <t>bulk</t>
  </si>
  <si>
    <t>大部分</t>
  </si>
  <si>
    <t>millionaire</t>
  </si>
  <si>
    <t>百万長者</t>
  </si>
  <si>
    <t>ash</t>
  </si>
  <si>
    <t>灰</t>
  </si>
  <si>
    <t>realm</t>
  </si>
  <si>
    <t>plantation</t>
  </si>
  <si>
    <t>農園</t>
  </si>
  <si>
    <t>plow</t>
  </si>
  <si>
    <t>すき</t>
  </si>
  <si>
    <t>vending</t>
  </si>
  <si>
    <t>販売</t>
  </si>
  <si>
    <t>orphan</t>
  </si>
  <si>
    <t>孤児</t>
  </si>
  <si>
    <t>neuron</t>
  </si>
  <si>
    <t>神経細胞</t>
  </si>
  <si>
    <t>vegetation</t>
  </si>
  <si>
    <t>植生</t>
  </si>
  <si>
    <t>warrior</t>
  </si>
  <si>
    <t>戦士</t>
  </si>
  <si>
    <t>mutation</t>
  </si>
  <si>
    <t>突然変異</t>
  </si>
  <si>
    <t>sewage</t>
  </si>
  <si>
    <t>下水</t>
  </si>
  <si>
    <t>paradigm</t>
  </si>
  <si>
    <t>理論的枠組</t>
  </si>
  <si>
    <t>protocol</t>
  </si>
  <si>
    <t>議定書</t>
  </si>
  <si>
    <t>skyscraper</t>
  </si>
  <si>
    <t>高層ビル</t>
  </si>
  <si>
    <t>accord</t>
  </si>
  <si>
    <t>一致</t>
  </si>
  <si>
    <t>bureaucrat</t>
  </si>
  <si>
    <t>官僚</t>
  </si>
  <si>
    <t>array</t>
  </si>
  <si>
    <t>多彩</t>
  </si>
  <si>
    <t>clash</t>
  </si>
  <si>
    <t>衝突</t>
  </si>
  <si>
    <t>torture</t>
  </si>
  <si>
    <t>拷問</t>
  </si>
  <si>
    <t>reign</t>
  </si>
  <si>
    <t>統治</t>
  </si>
  <si>
    <t>thesis</t>
  </si>
  <si>
    <t>論文</t>
  </si>
  <si>
    <t>digit</t>
  </si>
  <si>
    <t>桁</t>
  </si>
  <si>
    <t>agenda</t>
  </si>
  <si>
    <t>課題</t>
  </si>
  <si>
    <t>onset</t>
  </si>
  <si>
    <t>発症</t>
  </si>
  <si>
    <t>peasant</t>
  </si>
  <si>
    <t>小作農</t>
  </si>
  <si>
    <t>ultraviolet</t>
  </si>
  <si>
    <t>紫外</t>
  </si>
  <si>
    <t>renowned</t>
  </si>
  <si>
    <t>transparent</t>
  </si>
  <si>
    <t>透き通った</t>
  </si>
  <si>
    <t>dim</t>
  </si>
  <si>
    <t>薄暗い</t>
  </si>
  <si>
    <t>legitimate</t>
  </si>
  <si>
    <t>正当な</t>
  </si>
  <si>
    <t>adverse</t>
  </si>
  <si>
    <t>悪</t>
  </si>
  <si>
    <t>swift</t>
  </si>
  <si>
    <t>すばやい</t>
  </si>
  <si>
    <t>naive</t>
  </si>
  <si>
    <t>世間知らずの</t>
  </si>
  <si>
    <t>dumb</t>
  </si>
  <si>
    <t>ばか</t>
  </si>
  <si>
    <t>gloomy</t>
  </si>
  <si>
    <t>暗い</t>
  </si>
  <si>
    <t>furious</t>
  </si>
  <si>
    <t>激怒した</t>
  </si>
  <si>
    <t>earnest</t>
  </si>
  <si>
    <t>まじめな</t>
  </si>
  <si>
    <t>terrific</t>
  </si>
  <si>
    <t>vertical</t>
  </si>
  <si>
    <t>垂直な</t>
  </si>
  <si>
    <t>wicked</t>
  </si>
  <si>
    <t>邪悪な</t>
  </si>
  <si>
    <t>subjective</t>
  </si>
  <si>
    <t>主観的な</t>
  </si>
  <si>
    <t>enlightened</t>
  </si>
  <si>
    <t>進んだ考えの</t>
  </si>
  <si>
    <t>authentic</t>
  </si>
  <si>
    <t>本物の</t>
  </si>
  <si>
    <t>brutal</t>
  </si>
  <si>
    <t>残忍な</t>
  </si>
  <si>
    <t>dizzy</t>
  </si>
  <si>
    <t>めまい</t>
  </si>
  <si>
    <t>sheer</t>
  </si>
  <si>
    <t>まったくの</t>
  </si>
  <si>
    <t>naughty</t>
  </si>
  <si>
    <t>いたずらな</t>
  </si>
  <si>
    <t>damp</t>
  </si>
  <si>
    <t>湿った</t>
  </si>
  <si>
    <t>static</t>
  </si>
  <si>
    <t>静的な</t>
  </si>
  <si>
    <t>doomed</t>
  </si>
  <si>
    <t>運命にある</t>
  </si>
  <si>
    <t>respiratory</t>
  </si>
  <si>
    <t>呼吸器に関する、呼吸の</t>
  </si>
  <si>
    <t>innumerable</t>
  </si>
  <si>
    <t>clumsy</t>
  </si>
  <si>
    <t>不器用な</t>
  </si>
  <si>
    <t>aesthetic</t>
  </si>
  <si>
    <t>美的</t>
  </si>
  <si>
    <t>obsessed</t>
  </si>
  <si>
    <t>とりつかれている</t>
  </si>
  <si>
    <t>detached</t>
  </si>
  <si>
    <t>切り離された</t>
  </si>
  <si>
    <t>wrecked</t>
  </si>
  <si>
    <t>難破した</t>
  </si>
  <si>
    <t>reckless</t>
  </si>
  <si>
    <t>無謀な</t>
  </si>
  <si>
    <t>arrogant</t>
  </si>
  <si>
    <t>傲慢な</t>
  </si>
  <si>
    <t>preoccupied</t>
  </si>
  <si>
    <t>頭がいっぱいだ</t>
  </si>
  <si>
    <t>gigantic</t>
  </si>
  <si>
    <t>conspicuous</t>
  </si>
  <si>
    <t>顕著な</t>
  </si>
  <si>
    <t>slender</t>
  </si>
  <si>
    <t>すらりとした</t>
  </si>
  <si>
    <t>manifest</t>
  </si>
  <si>
    <t>明らかな</t>
  </si>
  <si>
    <t>tidy</t>
  </si>
  <si>
    <t>きちんと</t>
  </si>
  <si>
    <t>skeptical</t>
  </si>
  <si>
    <t>懐疑的な</t>
  </si>
  <si>
    <t>notorious</t>
  </si>
  <si>
    <t>悪名高い</t>
  </si>
  <si>
    <t>anonymous</t>
  </si>
  <si>
    <t>匿名の</t>
  </si>
  <si>
    <t>monotonous</t>
  </si>
  <si>
    <t>単調な</t>
  </si>
  <si>
    <t>ample</t>
  </si>
  <si>
    <t>豊富に</t>
  </si>
  <si>
    <t>trim</t>
  </si>
  <si>
    <t>こぎれいな</t>
  </si>
  <si>
    <t>savage</t>
  </si>
  <si>
    <t>野蛮な</t>
  </si>
  <si>
    <t>coherent</t>
  </si>
  <si>
    <t>一貫した</t>
  </si>
  <si>
    <t>eloquent</t>
  </si>
  <si>
    <t>雄弁な</t>
  </si>
  <si>
    <t>foul</t>
  </si>
  <si>
    <t>juvenile</t>
  </si>
  <si>
    <t>青少年の</t>
  </si>
  <si>
    <t>compulsory</t>
  </si>
  <si>
    <t>義務的な</t>
  </si>
  <si>
    <t>prone</t>
  </si>
  <si>
    <t>やすい</t>
  </si>
  <si>
    <t>arbitrary</t>
  </si>
  <si>
    <t>勝手な</t>
  </si>
  <si>
    <t>ingenious</t>
  </si>
  <si>
    <t>独創的な</t>
  </si>
  <si>
    <t>divine</t>
  </si>
  <si>
    <t>神聖なる</t>
  </si>
  <si>
    <t>tender</t>
  </si>
  <si>
    <t>やさしい</t>
  </si>
  <si>
    <t>outraged</t>
  </si>
  <si>
    <t>憤慨している</t>
  </si>
  <si>
    <t>instrinsic</t>
  </si>
  <si>
    <t>本来の</t>
  </si>
  <si>
    <t>paralyzed</t>
  </si>
  <si>
    <t>麻痺している</t>
  </si>
  <si>
    <t>compatible</t>
  </si>
  <si>
    <t>適合する</t>
  </si>
  <si>
    <t>patriotic</t>
  </si>
  <si>
    <t>愛国的な</t>
  </si>
  <si>
    <t>eminent</t>
  </si>
  <si>
    <t>名高い</t>
  </si>
  <si>
    <t>potent</t>
  </si>
  <si>
    <t>強力な</t>
  </si>
  <si>
    <t>insane</t>
  </si>
  <si>
    <t>正気を失っている</t>
  </si>
  <si>
    <t>staple</t>
  </si>
  <si>
    <t>secondhand</t>
  </si>
  <si>
    <t>間接</t>
  </si>
  <si>
    <t>indigenous</t>
  </si>
  <si>
    <t>先住</t>
  </si>
  <si>
    <t>utmost</t>
  </si>
  <si>
    <t>最も</t>
  </si>
  <si>
    <t>integral</t>
  </si>
  <si>
    <t>intricate</t>
  </si>
  <si>
    <t>demographics</t>
  </si>
  <si>
    <t>人口統計の</t>
  </si>
  <si>
    <t>mighty</t>
  </si>
  <si>
    <t>intact</t>
  </si>
  <si>
    <t>無傷の</t>
  </si>
  <si>
    <t>intent</t>
  </si>
  <si>
    <t>決意をしている</t>
  </si>
  <si>
    <t>intriguing</t>
  </si>
  <si>
    <t>興味深い</t>
  </si>
  <si>
    <t>merry</t>
  </si>
  <si>
    <t>陽気な</t>
  </si>
  <si>
    <t>perpetual</t>
  </si>
  <si>
    <t>永続する</t>
  </si>
  <si>
    <t>spinal</t>
  </si>
  <si>
    <t>脊椎の</t>
  </si>
  <si>
    <t>susceptible</t>
  </si>
  <si>
    <t>かかりやすい</t>
  </si>
  <si>
    <t>mandatory</t>
  </si>
  <si>
    <t>upright</t>
  </si>
  <si>
    <t>まっすぐに</t>
  </si>
  <si>
    <t>abruptly</t>
  </si>
  <si>
    <t>不意に</t>
  </si>
  <si>
    <t>conversely</t>
  </si>
  <si>
    <t>逆に</t>
  </si>
  <si>
    <t>predominantly</t>
  </si>
  <si>
    <t>lest</t>
  </si>
  <si>
    <t>～しないように</t>
    <phoneticPr fontId="2"/>
  </si>
  <si>
    <t>(2)</t>
  </si>
  <si>
    <t>(4)</t>
  </si>
  <si>
    <t>c</t>
  </si>
  <si>
    <t>正解はc</t>
    <rPh sb="0" eb="2">
      <t>セイカイ</t>
    </rPh>
    <phoneticPr fontId="2"/>
  </si>
  <si>
    <t>間違えゾーンから出題</t>
    <rPh sb="0" eb="2">
      <t>マチガ</t>
    </rPh>
    <rPh sb="8" eb="10">
      <t>シュツダイ</t>
    </rPh>
    <phoneticPr fontId="2"/>
  </si>
  <si>
    <t>間違えゾーン</t>
    <rPh sb="0" eb="2">
      <t>マチガ</t>
    </rPh>
    <phoneticPr fontId="2"/>
  </si>
  <si>
    <t>間違えゾーンテスト最大</t>
    <rPh sb="0" eb="2">
      <t>マチガ</t>
    </rPh>
    <rPh sb="9" eb="11">
      <t>サイダイ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</si>
</sst>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游ゴシック"/>
      <family val="2"/>
      <charset val="128"/>
      <scheme val="minor"/>
    </font>
    <font>
      <sz val="15"/>
      <color theme="1"/>
      <name val="メイリオ"/>
      <family val="2"/>
      <charset val="128"/>
    </font>
    <font>
      <sz val="6"/>
      <name val="游ゴシック"/>
      <family val="2"/>
      <charset val="128"/>
      <scheme val="minor"/>
    </font>
    <font>
      <sz val="16"/>
      <color rgb="FF111111"/>
      <name val="Courier New"/>
      <family val="1"/>
    </font>
    <font>
      <sz val="16"/>
      <color rgb="FF111111"/>
      <name val="游ゴシック"/>
      <family val="3"/>
      <charset val="128"/>
      <scheme val="minor"/>
    </font>
    <font>
      <sz val="16"/>
      <color rgb="FF111111"/>
      <name val="Courier New"/>
      <family val="3"/>
    </font>
    <font>
      <sz val="12"/>
      <color rgb="FF333333"/>
      <name val="メイリオ"/>
      <family val="3"/>
      <charset val="128"/>
    </font>
    <font>
      <sz val="12"/>
      <color rgb="FFFF0000"/>
      <name val="メイリオ"/>
      <family val="2"/>
      <charset val="128"/>
    </font>
    <font>
      <sz val="12"/>
      <color rgb="FF000000"/>
      <name val="Yu Gothic"/>
      <family val="3"/>
      <charset val="128"/>
    </font>
    <font>
      <sz val="12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0" fillId="0" borderId="1" xfId="0" applyBorder="1">
      <alignment vertical="center"/>
    </xf>
    <xf numFmtId="0" fontId="0" fillId="0" borderId="0" xfId="0" quotePrefix="1">
      <alignment vertical="center"/>
    </xf>
    <xf numFmtId="0" fontId="5" fillId="0" borderId="0" xfId="0" applyFont="1" applyAlignment="1">
      <alignment horizontal="left" vertical="top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O$28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7</xdr:row>
          <xdr:rowOff>0</xdr:rowOff>
        </xdr:from>
        <xdr:to>
          <xdr:col>6</xdr:col>
          <xdr:colOff>876300</xdr:colOff>
          <xdr:row>8</xdr:row>
          <xdr:rowOff>38100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27</xdr:row>
          <xdr:rowOff>63500</xdr:rowOff>
        </xdr:from>
        <xdr:to>
          <xdr:col>13</xdr:col>
          <xdr:colOff>723900</xdr:colOff>
          <xdr:row>27</xdr:row>
          <xdr:rowOff>292100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660400</xdr:colOff>
          <xdr:row>28</xdr:row>
          <xdr:rowOff>304800</xdr:rowOff>
        </xdr:from>
        <xdr:to>
          <xdr:col>15</xdr:col>
          <xdr:colOff>736600</xdr:colOff>
          <xdr:row>31</xdr:row>
          <xdr:rowOff>304800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正誤データ記録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304800</xdr:rowOff>
        </xdr:from>
        <xdr:to>
          <xdr:col>16</xdr:col>
          <xdr:colOff>88900</xdr:colOff>
          <xdr:row>28</xdr:row>
          <xdr:rowOff>139700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一括ｃ入力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2857500</xdr:colOff>
          <xdr:row>27</xdr:row>
          <xdr:rowOff>127000</xdr:rowOff>
        </xdr:from>
        <xdr:to>
          <xdr:col>7</xdr:col>
          <xdr:colOff>482600</xdr:colOff>
          <xdr:row>28</xdr:row>
          <xdr:rowOff>165100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かぶりチェック機構テストボタン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11</xdr:row>
          <xdr:rowOff>165100</xdr:rowOff>
        </xdr:from>
        <xdr:to>
          <xdr:col>6</xdr:col>
          <xdr:colOff>711200</xdr:colOff>
          <xdr:row>12</xdr:row>
          <xdr:rowOff>101600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複数回テスト作成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A906B-D53C-774A-9320-496C422BA3AA}">
  <sheetPr codeName="Sheet2"/>
  <dimension ref="A1:DP2049"/>
  <sheetViews>
    <sheetView tabSelected="1" zoomScale="75" zoomScaleNormal="70" workbookViewId="0">
      <selection activeCell="F7" sqref="F7"/>
    </sheetView>
  </sheetViews>
  <sheetFormatPr baseColWidth="10" defaultColWidth="10.7109375" defaultRowHeight="20"/>
  <cols>
    <col min="1" max="1" width="26.28515625" customWidth="1"/>
    <col min="5" max="5" width="36.140625" customWidth="1"/>
    <col min="6" max="6" width="28.7109375" customWidth="1"/>
    <col min="9" max="9" width="19.5703125" customWidth="1"/>
    <col min="11" max="11" width="31.85546875" customWidth="1"/>
    <col min="12" max="12" width="25.7109375" customWidth="1"/>
    <col min="21" max="21" width="11.42578125" bestFit="1" customWidth="1"/>
    <col min="24" max="24" width="51.28515625" customWidth="1"/>
    <col min="26" max="26" width="11.5703125" customWidth="1"/>
  </cols>
  <sheetData>
    <row r="1" spans="1:120" ht="27">
      <c r="A1" s="9">
        <f ca="1">IF(COUNTIF($AA$1:$BXX$24,1)=0,RAND(),RAND()-1)</f>
        <v>0.35104855147390146</v>
      </c>
      <c r="B1" s="2">
        <f t="shared" ref="B1:B64" ca="1" si="0">RANK(A1,OFFSET($A$1,$G$1-1,0,$G$2-$G$1+1))</f>
        <v>67</v>
      </c>
      <c r="C1" s="1">
        <v>1</v>
      </c>
      <c r="D1" s="1" t="s">
        <v>0</v>
      </c>
      <c r="E1" s="1" t="s">
        <v>1</v>
      </c>
      <c r="F1" s="1" t="s">
        <v>2</v>
      </c>
      <c r="G1">
        <v>1</v>
      </c>
      <c r="H1">
        <v>1</v>
      </c>
      <c r="N1" t="s">
        <v>3973</v>
      </c>
      <c r="R1" t="s">
        <v>3</v>
      </c>
      <c r="S1" t="s">
        <v>4</v>
      </c>
      <c r="T1" t="s">
        <v>5</v>
      </c>
      <c r="U1" t="s">
        <v>3975</v>
      </c>
      <c r="Z1" t="s">
        <v>6</v>
      </c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</row>
    <row r="2" spans="1:120" ht="27">
      <c r="A2" s="9">
        <f ca="1">IF(COUNTIF($AA$1:$BXX$24,2) = 0,RAND(),RAND()-1)</f>
        <v>0.73754916689698602</v>
      </c>
      <c r="B2" s="2">
        <f t="shared" ca="1" si="0"/>
        <v>24</v>
      </c>
      <c r="C2" s="1">
        <v>2</v>
      </c>
      <c r="D2" s="1" t="s">
        <v>7</v>
      </c>
      <c r="E2" s="1" t="s">
        <v>8</v>
      </c>
      <c r="F2" s="1" t="s">
        <v>9</v>
      </c>
      <c r="G2">
        <v>100</v>
      </c>
      <c r="H2">
        <v>2</v>
      </c>
      <c r="M2" s="8" t="s">
        <v>10</v>
      </c>
      <c r="N2" t="s">
        <v>3972</v>
      </c>
      <c r="O2" s="7"/>
      <c r="Q2" s="8"/>
      <c r="R2" s="7"/>
      <c r="S2" s="7"/>
      <c r="T2">
        <v>7</v>
      </c>
      <c r="U2">
        <v>0</v>
      </c>
      <c r="W2" s="1"/>
      <c r="X2" s="1"/>
      <c r="Y2" s="11"/>
      <c r="Z2" t="s">
        <v>11</v>
      </c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</row>
    <row r="3" spans="1:120" ht="27">
      <c r="A3" s="9">
        <f ca="1">IF(COUNTIF($AA$1:$BXX$24,3) = 0,RAND(),RAND()-1)</f>
        <v>9.1322393432571203E-2</v>
      </c>
      <c r="B3" s="2">
        <f t="shared" ca="1" si="0"/>
        <v>89</v>
      </c>
      <c r="C3" s="1">
        <v>3</v>
      </c>
      <c r="D3" s="1" t="s">
        <v>12</v>
      </c>
      <c r="E3" s="1" t="s">
        <v>13</v>
      </c>
      <c r="F3" s="1" t="s">
        <v>14</v>
      </c>
      <c r="G3">
        <v>0</v>
      </c>
      <c r="H3">
        <v>3</v>
      </c>
      <c r="M3" s="8" t="s">
        <v>15</v>
      </c>
      <c r="N3" t="s">
        <v>3972</v>
      </c>
      <c r="O3" s="7"/>
      <c r="Q3" s="8"/>
      <c r="R3" s="7"/>
      <c r="S3" s="7"/>
      <c r="T3">
        <v>6</v>
      </c>
      <c r="U3">
        <v>0</v>
      </c>
      <c r="W3" s="1"/>
      <c r="X3" s="1"/>
      <c r="Y3" s="11"/>
      <c r="Z3">
        <v>0</v>
      </c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</row>
    <row r="4" spans="1:120" ht="27">
      <c r="A4" s="9">
        <f ca="1">IF(COUNTIF($AA$1:$BXX$24,4) = 0,RAND(),RAND()-1)</f>
        <v>4.4539070744623488E-2</v>
      </c>
      <c r="B4" s="2">
        <f t="shared" ca="1" si="0"/>
        <v>97</v>
      </c>
      <c r="C4" s="1">
        <v>4</v>
      </c>
      <c r="D4" s="1" t="s">
        <v>16</v>
      </c>
      <c r="E4" s="1" t="s">
        <v>17</v>
      </c>
      <c r="F4" s="1" t="s">
        <v>18</v>
      </c>
      <c r="G4">
        <v>1</v>
      </c>
      <c r="H4">
        <v>4</v>
      </c>
      <c r="M4" s="8" t="s">
        <v>19</v>
      </c>
      <c r="N4" t="s">
        <v>3972</v>
      </c>
      <c r="O4" s="7"/>
      <c r="Q4" s="8"/>
      <c r="R4" s="7"/>
      <c r="S4" s="7"/>
      <c r="T4">
        <v>5</v>
      </c>
      <c r="U4">
        <v>0</v>
      </c>
      <c r="W4" s="1"/>
      <c r="X4" s="1"/>
      <c r="Y4" s="11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</row>
    <row r="5" spans="1:120" ht="27">
      <c r="A5" s="9">
        <f ca="1">IF(COUNTIF($AA$1:$BXX$24,5) = 0,RAND(),RAND()-1)</f>
        <v>0.71061598101630719</v>
      </c>
      <c r="B5" s="2">
        <f t="shared" ca="1" si="0"/>
        <v>26</v>
      </c>
      <c r="C5" s="1">
        <v>5</v>
      </c>
      <c r="D5" s="1" t="s">
        <v>20</v>
      </c>
      <c r="E5" s="1" t="s">
        <v>21</v>
      </c>
      <c r="F5" s="1" t="s">
        <v>3974</v>
      </c>
      <c r="G5">
        <v>0</v>
      </c>
      <c r="H5">
        <v>5</v>
      </c>
      <c r="M5" s="8" t="s">
        <v>22</v>
      </c>
      <c r="N5" t="s">
        <v>3972</v>
      </c>
      <c r="O5" s="7"/>
      <c r="Q5" s="8"/>
      <c r="R5" s="7"/>
      <c r="S5" s="7"/>
      <c r="T5">
        <v>4</v>
      </c>
      <c r="U5">
        <v>0</v>
      </c>
      <c r="W5" s="1"/>
      <c r="X5" s="1"/>
      <c r="Y5" s="11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</row>
    <row r="6" spans="1:120" ht="27">
      <c r="A6" s="9">
        <f ca="1">IF(COUNTIF($AA$1:$BXX$24,6) = 0,RAND(),RAND()-1)</f>
        <v>0.43369018865171283</v>
      </c>
      <c r="B6" s="2">
        <f t="shared" ca="1" si="0"/>
        <v>54</v>
      </c>
      <c r="C6" s="1">
        <v>6</v>
      </c>
      <c r="D6" s="1" t="s">
        <v>23</v>
      </c>
      <c r="E6" s="1" t="s">
        <v>24</v>
      </c>
      <c r="F6" s="1" t="s">
        <v>3976</v>
      </c>
      <c r="G6">
        <f>COUNT(_xlfn.UNIQUE(V2:V140))</f>
        <v>0</v>
      </c>
      <c r="H6">
        <v>6</v>
      </c>
      <c r="M6" s="8" t="s">
        <v>25</v>
      </c>
      <c r="N6" t="s">
        <v>3972</v>
      </c>
      <c r="O6" s="7"/>
      <c r="Q6" s="8"/>
      <c r="R6" s="7"/>
      <c r="S6" s="7"/>
      <c r="T6">
        <v>3</v>
      </c>
      <c r="U6">
        <v>0</v>
      </c>
      <c r="W6" s="1"/>
      <c r="X6" s="1"/>
      <c r="Y6" s="11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</row>
    <row r="7" spans="1:120" ht="27">
      <c r="A7" s="9">
        <f ca="1">IF(COUNTIF($AA$1:$BXX$24,7) = 0,RAND(),RAND()-1)</f>
        <v>0.48805899793718066</v>
      </c>
      <c r="B7" s="2">
        <f t="shared" ca="1" si="0"/>
        <v>50</v>
      </c>
      <c r="C7" s="1">
        <v>7</v>
      </c>
      <c r="D7" s="1" t="s">
        <v>26</v>
      </c>
      <c r="E7" s="1" t="s">
        <v>27</v>
      </c>
      <c r="F7" s="1"/>
      <c r="H7">
        <v>7</v>
      </c>
      <c r="M7" s="8" t="s">
        <v>28</v>
      </c>
      <c r="N7" t="s">
        <v>3972</v>
      </c>
      <c r="O7" s="7"/>
      <c r="R7" s="7"/>
      <c r="S7" s="7"/>
      <c r="T7">
        <v>2</v>
      </c>
      <c r="U7">
        <v>0</v>
      </c>
      <c r="W7" s="1"/>
      <c r="X7" s="1"/>
      <c r="Y7" s="11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</row>
    <row r="8" spans="1:120" ht="27">
      <c r="A8" s="9">
        <f ca="1">IF(COUNTIF($AA$1:$BXX$24,8) = 0,RAND(),RAND()-1)</f>
        <v>0.49236395633377195</v>
      </c>
      <c r="B8" s="2">
        <f t="shared" ca="1" si="0"/>
        <v>49</v>
      </c>
      <c r="C8" s="1">
        <v>8</v>
      </c>
      <c r="D8" s="1" t="s">
        <v>29</v>
      </c>
      <c r="E8" s="1" t="s">
        <v>30</v>
      </c>
      <c r="H8">
        <v>8</v>
      </c>
      <c r="M8" s="8" t="s">
        <v>31</v>
      </c>
      <c r="N8" t="s">
        <v>3972</v>
      </c>
      <c r="O8" s="7"/>
      <c r="Q8" s="8"/>
      <c r="R8" s="7"/>
      <c r="S8" s="7"/>
      <c r="T8">
        <v>1</v>
      </c>
      <c r="U8">
        <v>0</v>
      </c>
      <c r="W8" s="1"/>
      <c r="X8" s="1"/>
      <c r="Y8" s="11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</row>
    <row r="9" spans="1:120" ht="27">
      <c r="A9" s="9">
        <f ca="1">IF(COUNTIF($AA$1:$BXX$24,9) = 0,RAND(),RAND()-1)</f>
        <v>0.70085090592624488</v>
      </c>
      <c r="B9" s="2">
        <f t="shared" ca="1" si="0"/>
        <v>27</v>
      </c>
      <c r="C9" s="1">
        <v>9</v>
      </c>
      <c r="D9" s="1" t="s">
        <v>32</v>
      </c>
      <c r="E9" s="1" t="s">
        <v>33</v>
      </c>
      <c r="F9" s="10"/>
      <c r="H9">
        <v>9</v>
      </c>
      <c r="M9" s="8" t="s">
        <v>34</v>
      </c>
      <c r="N9" t="s">
        <v>3972</v>
      </c>
      <c r="O9" s="7"/>
      <c r="R9" s="7"/>
      <c r="S9" s="7"/>
      <c r="U9" s="6"/>
      <c r="W9" s="1"/>
      <c r="X9" s="1"/>
      <c r="Y9" s="11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</row>
    <row r="10" spans="1:120" ht="27">
      <c r="A10" s="9">
        <f ca="1">IF(COUNTIF($AA$1:$BXX$24,10) = 0,RAND(),RAND()-1)</f>
        <v>0.65586095169704006</v>
      </c>
      <c r="B10" s="2">
        <f t="shared" ca="1" si="0"/>
        <v>31</v>
      </c>
      <c r="C10" s="1">
        <v>10</v>
      </c>
      <c r="D10" s="1" t="s">
        <v>35</v>
      </c>
      <c r="E10" s="1" t="s">
        <v>36</v>
      </c>
      <c r="F10" s="1"/>
      <c r="H10">
        <v>10</v>
      </c>
      <c r="M10" s="8" t="s">
        <v>37</v>
      </c>
      <c r="N10" t="s">
        <v>3972</v>
      </c>
      <c r="O10" s="7"/>
      <c r="Q10" s="8"/>
      <c r="R10" s="7"/>
      <c r="S10" s="7"/>
      <c r="U10" s="6"/>
      <c r="W10" s="1"/>
      <c r="X10" s="1"/>
      <c r="Y10" s="11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</row>
    <row r="11" spans="1:120" ht="27">
      <c r="A11" s="9">
        <f ca="1">IF(COUNTIF($AA$1:$BXX$24,11) = 0,RAND(),RAND()-1)</f>
        <v>0.85220341622134455</v>
      </c>
      <c r="B11" s="2">
        <f t="shared" ca="1" si="0"/>
        <v>14</v>
      </c>
      <c r="C11" s="1">
        <v>11</v>
      </c>
      <c r="D11" s="1" t="s">
        <v>38</v>
      </c>
      <c r="E11" s="1" t="s">
        <v>39</v>
      </c>
      <c r="F11" s="1" t="s">
        <v>40</v>
      </c>
      <c r="G11">
        <v>5</v>
      </c>
      <c r="H11">
        <v>11</v>
      </c>
      <c r="M11" s="8" t="s">
        <v>41</v>
      </c>
      <c r="N11" t="s">
        <v>3972</v>
      </c>
      <c r="O11" s="7"/>
      <c r="R11" s="7"/>
      <c r="S11" s="7"/>
      <c r="U11" s="6"/>
      <c r="W11" s="1"/>
      <c r="X11" s="1"/>
      <c r="Y11" s="11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</row>
    <row r="12" spans="1:120" ht="27">
      <c r="A12" s="9">
        <f ca="1">IF(COUNTIF($AA$1:$BXX$24,12) = 0,RAND(),RAND()-1)</f>
        <v>8.8867486369601845E-2</v>
      </c>
      <c r="B12" s="2">
        <f t="shared" ca="1" si="0"/>
        <v>90</v>
      </c>
      <c r="C12" s="1">
        <v>12</v>
      </c>
      <c r="D12" s="1" t="s">
        <v>42</v>
      </c>
      <c r="E12" s="1" t="s">
        <v>43</v>
      </c>
      <c r="F12" s="1"/>
      <c r="H12">
        <v>12</v>
      </c>
      <c r="M12" s="8" t="s">
        <v>44</v>
      </c>
      <c r="N12" t="s">
        <v>3972</v>
      </c>
      <c r="O12" s="7"/>
      <c r="Q12" s="8"/>
      <c r="R12" s="7"/>
      <c r="S12" s="7"/>
      <c r="U12" s="6"/>
      <c r="W12" s="1"/>
      <c r="X12" s="1"/>
      <c r="Y12" s="11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</row>
    <row r="13" spans="1:120" ht="27">
      <c r="A13" s="9">
        <f ca="1">IF(COUNTIF($AA$1:$BXX$24,13) = 0,RAND(),RAND()-1)</f>
        <v>0.83217615372152853</v>
      </c>
      <c r="B13" s="2">
        <f t="shared" ca="1" si="0"/>
        <v>16</v>
      </c>
      <c r="C13" s="1">
        <v>13</v>
      </c>
      <c r="D13" s="1" t="s">
        <v>45</v>
      </c>
      <c r="E13" s="1" t="s">
        <v>46</v>
      </c>
      <c r="F13" s="1"/>
      <c r="H13">
        <v>13</v>
      </c>
      <c r="M13" s="8" t="s">
        <v>47</v>
      </c>
      <c r="N13" t="s">
        <v>3972</v>
      </c>
      <c r="O13" s="7"/>
      <c r="R13" s="7"/>
      <c r="S13" s="7"/>
      <c r="T13" s="6"/>
      <c r="U13" s="6"/>
      <c r="W13" s="1"/>
      <c r="X13" s="1"/>
      <c r="Y13" s="11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</row>
    <row r="14" spans="1:120" ht="27">
      <c r="A14" s="9">
        <f ca="1">IF(COUNTIF($AA$1:$BXX$24,14) = 0,RAND(),RAND()-1)</f>
        <v>0.60391379015769175</v>
      </c>
      <c r="B14" s="2">
        <f t="shared" ca="1" si="0"/>
        <v>37</v>
      </c>
      <c r="C14" s="1">
        <v>14</v>
      </c>
      <c r="D14" s="1" t="s">
        <v>48</v>
      </c>
      <c r="E14" s="1" t="s">
        <v>49</v>
      </c>
      <c r="F14" s="1"/>
      <c r="H14">
        <v>14</v>
      </c>
      <c r="M14" s="8" t="s">
        <v>50</v>
      </c>
      <c r="N14" t="s">
        <v>3972</v>
      </c>
      <c r="O14" s="7"/>
      <c r="Q14" s="8"/>
      <c r="R14" s="7"/>
      <c r="S14" s="7"/>
      <c r="U14" s="6"/>
      <c r="W14" s="1"/>
      <c r="X14" s="1"/>
      <c r="Y14" s="11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</row>
    <row r="15" spans="1:120" ht="27">
      <c r="A15" s="9">
        <f ca="1">IF(COUNTIF($AA$1:$BXX$24,15) = 0,RAND(),RAND()-1)</f>
        <v>0.43106329512813202</v>
      </c>
      <c r="B15" s="2">
        <f t="shared" ca="1" si="0"/>
        <v>56</v>
      </c>
      <c r="C15" s="1">
        <v>15</v>
      </c>
      <c r="D15" s="1" t="s">
        <v>51</v>
      </c>
      <c r="E15" s="1" t="s">
        <v>52</v>
      </c>
      <c r="F15" s="1"/>
      <c r="H15">
        <v>15</v>
      </c>
      <c r="M15" s="8" t="s">
        <v>53</v>
      </c>
      <c r="N15" t="s">
        <v>3972</v>
      </c>
      <c r="O15" s="7"/>
      <c r="Q15" s="8"/>
      <c r="R15" s="7"/>
      <c r="S15" s="7"/>
      <c r="U15" s="6"/>
      <c r="W15" s="1"/>
      <c r="X15" s="1"/>
      <c r="Y15" s="11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</row>
    <row r="16" spans="1:120" ht="27">
      <c r="A16" s="9">
        <f ca="1">IF(COUNTIF($AA$1:$BXX$24,16) = 0,RAND(),RAND()-1)</f>
        <v>0.19199369171293712</v>
      </c>
      <c r="B16" s="2">
        <f t="shared" ca="1" si="0"/>
        <v>82</v>
      </c>
      <c r="C16" s="1">
        <v>16</v>
      </c>
      <c r="D16" s="1" t="s">
        <v>54</v>
      </c>
      <c r="E16" s="1" t="s">
        <v>55</v>
      </c>
      <c r="F16" s="1"/>
      <c r="H16">
        <v>16</v>
      </c>
      <c r="M16" s="8" t="s">
        <v>56</v>
      </c>
      <c r="N16" t="s">
        <v>3972</v>
      </c>
      <c r="O16" s="7"/>
      <c r="R16" s="7"/>
      <c r="S16" s="7"/>
      <c r="U16" s="6"/>
      <c r="W16" s="1"/>
      <c r="X16" s="1"/>
      <c r="Y16" s="11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</row>
    <row r="17" spans="1:120" ht="27">
      <c r="A17" s="9">
        <f ca="1">IF(COUNTIF($AA$1:$BXX$24,17) = 0,RAND(),RAND()-1)</f>
        <v>0.54344099736952989</v>
      </c>
      <c r="B17" s="2">
        <f t="shared" ca="1" si="0"/>
        <v>41</v>
      </c>
      <c r="C17" s="1">
        <v>17</v>
      </c>
      <c r="D17" s="1" t="s">
        <v>57</v>
      </c>
      <c r="E17" s="1" t="s">
        <v>58</v>
      </c>
      <c r="F17" s="1"/>
      <c r="H17">
        <v>17</v>
      </c>
      <c r="M17" s="8" t="s">
        <v>59</v>
      </c>
      <c r="N17" t="s">
        <v>3972</v>
      </c>
      <c r="O17" s="7"/>
      <c r="Q17" s="8"/>
      <c r="R17" s="7"/>
      <c r="S17" s="7"/>
      <c r="U17" s="6"/>
      <c r="W17" s="1"/>
      <c r="X17" s="1"/>
      <c r="Y17" s="11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</row>
    <row r="18" spans="1:120" ht="27">
      <c r="A18" s="9">
        <f ca="1">IF(COUNTIF($AA$1:$BXX$24,18) = 0,RAND(),RAND()-1)</f>
        <v>0.51661506918860678</v>
      </c>
      <c r="B18" s="2">
        <f t="shared" ca="1" si="0"/>
        <v>45</v>
      </c>
      <c r="C18" s="1">
        <v>18</v>
      </c>
      <c r="D18" s="1" t="s">
        <v>60</v>
      </c>
      <c r="E18" s="1" t="s">
        <v>61</v>
      </c>
      <c r="F18" s="1"/>
      <c r="H18">
        <v>18</v>
      </c>
      <c r="M18" s="8" t="s">
        <v>62</v>
      </c>
      <c r="N18" t="s">
        <v>3972</v>
      </c>
      <c r="O18" s="7"/>
      <c r="Q18" s="8"/>
      <c r="R18" s="7"/>
      <c r="S18" s="7"/>
      <c r="U18" s="6"/>
      <c r="W18" s="1"/>
      <c r="X18" s="1"/>
      <c r="Y18" s="11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</row>
    <row r="19" spans="1:120" ht="27">
      <c r="A19" s="9">
        <f ca="1">IF(COUNTIF($AA$1:$BXX$24,19) = 0,RAND(),RAND()-1)</f>
        <v>0.79429748499168851</v>
      </c>
      <c r="B19" s="2">
        <f t="shared" ca="1" si="0"/>
        <v>22</v>
      </c>
      <c r="C19" s="1">
        <v>19</v>
      </c>
      <c r="D19" s="1" t="s">
        <v>63</v>
      </c>
      <c r="E19" s="1" t="s">
        <v>64</v>
      </c>
      <c r="F19" s="1"/>
      <c r="H19">
        <v>19</v>
      </c>
      <c r="M19" s="8" t="s">
        <v>65</v>
      </c>
      <c r="N19" t="s">
        <v>3972</v>
      </c>
      <c r="O19" s="7"/>
      <c r="R19" s="7"/>
      <c r="S19" s="7"/>
      <c r="U19" s="6"/>
      <c r="W19" s="1"/>
      <c r="X19" s="1"/>
      <c r="Y19" s="11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</row>
    <row r="20" spans="1:120" ht="27">
      <c r="A20" s="9">
        <f ca="1">IF(COUNTIF($AA$1:$BXX$24,20) = 0,RAND(),RAND()-1)</f>
        <v>0.33608795313776318</v>
      </c>
      <c r="B20" s="2">
        <f t="shared" ca="1" si="0"/>
        <v>68</v>
      </c>
      <c r="C20" s="1">
        <v>20</v>
      </c>
      <c r="D20" s="1" t="s">
        <v>66</v>
      </c>
      <c r="E20" s="1" t="s">
        <v>67</v>
      </c>
      <c r="F20" s="1"/>
      <c r="H20">
        <v>20</v>
      </c>
      <c r="M20" s="8" t="s">
        <v>68</v>
      </c>
      <c r="N20" t="s">
        <v>3972</v>
      </c>
      <c r="O20" s="7"/>
      <c r="Q20" s="8"/>
      <c r="R20" s="7"/>
      <c r="S20" s="7"/>
      <c r="U20" s="6"/>
      <c r="W20" s="1"/>
      <c r="X20" s="1"/>
      <c r="Y20" s="11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J20" s="6"/>
      <c r="DK20" s="6"/>
      <c r="DL20" s="6"/>
      <c r="DM20" s="6"/>
      <c r="DN20" s="6"/>
      <c r="DO20" s="6"/>
      <c r="DP20" s="6"/>
    </row>
    <row r="21" spans="1:120" ht="27">
      <c r="A21" s="9">
        <f ca="1">IF(COUNTIF($AA$1:$BXX$24,21) = 0,RAND(),RAND()-1)</f>
        <v>0.82911406339787841</v>
      </c>
      <c r="B21" s="2">
        <f t="shared" ca="1" si="0"/>
        <v>17</v>
      </c>
      <c r="C21" s="1">
        <v>21</v>
      </c>
      <c r="D21" s="1" t="s">
        <v>69</v>
      </c>
      <c r="E21" s="1" t="s">
        <v>70</v>
      </c>
      <c r="F21" s="1"/>
      <c r="H21">
        <v>21</v>
      </c>
      <c r="M21" s="8" t="s">
        <v>71</v>
      </c>
      <c r="N21" t="s">
        <v>3972</v>
      </c>
      <c r="O21" s="7"/>
      <c r="Q21" s="8"/>
      <c r="R21" s="7"/>
      <c r="S21" s="7"/>
      <c r="U21" s="6"/>
      <c r="W21" s="1"/>
      <c r="X21" s="1"/>
      <c r="Y21" s="11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J21" s="6"/>
      <c r="DK21" s="6"/>
      <c r="DL21" s="6"/>
      <c r="DM21" s="6"/>
      <c r="DN21" s="6"/>
      <c r="DO21" s="6"/>
      <c r="DP21" s="6"/>
    </row>
    <row r="22" spans="1:120" ht="27">
      <c r="A22" s="9">
        <f ca="1">IF(COUNTIF($AA$1:$BXX$24,22) = 0,RAND(),RAND()-1)</f>
        <v>0.39010934498344219</v>
      </c>
      <c r="B22" s="2">
        <f t="shared" ca="1" si="0"/>
        <v>62</v>
      </c>
      <c r="C22" s="1">
        <v>22</v>
      </c>
      <c r="D22" s="1" t="s">
        <v>72</v>
      </c>
      <c r="E22" s="1" t="s">
        <v>73</v>
      </c>
      <c r="F22" s="1"/>
      <c r="H22">
        <v>22</v>
      </c>
      <c r="M22" s="8" t="s">
        <v>74</v>
      </c>
      <c r="N22" t="s">
        <v>3972</v>
      </c>
      <c r="O22" s="7"/>
      <c r="Q22" s="8"/>
      <c r="R22" s="7"/>
      <c r="S22" s="7"/>
      <c r="U22" s="6"/>
      <c r="W22" s="1"/>
      <c r="X22" s="1"/>
      <c r="Y22" s="11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S22" s="6"/>
      <c r="BT22" s="6"/>
      <c r="BU22" s="6"/>
      <c r="BV22" s="6"/>
      <c r="BX22" s="6"/>
      <c r="BY22" s="6"/>
      <c r="BZ22" s="6"/>
      <c r="CA22" s="6"/>
      <c r="CB22" s="6"/>
      <c r="CC22" s="6"/>
      <c r="CD22" s="6"/>
      <c r="CE22" s="6"/>
      <c r="CF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J22" s="6"/>
      <c r="DK22" s="6"/>
      <c r="DL22" s="6"/>
      <c r="DM22" s="6"/>
      <c r="DN22" s="6"/>
      <c r="DO22" s="6"/>
      <c r="DP22" s="6"/>
    </row>
    <row r="23" spans="1:120" ht="27">
      <c r="A23" s="9">
        <f ca="1">IF(COUNTIF($AA$1:$BXX$24,23) = 0,RAND(),RAND()-1)</f>
        <v>0.24045685949613937</v>
      </c>
      <c r="B23" s="2">
        <f t="shared" ca="1" si="0"/>
        <v>79</v>
      </c>
      <c r="C23" s="1">
        <v>23</v>
      </c>
      <c r="D23" s="1" t="s">
        <v>75</v>
      </c>
      <c r="E23" s="1" t="s">
        <v>76</v>
      </c>
      <c r="H23">
        <v>23</v>
      </c>
      <c r="M23" s="8" t="s">
        <v>77</v>
      </c>
      <c r="N23" t="s">
        <v>3972</v>
      </c>
      <c r="O23" s="7"/>
      <c r="Q23" s="8"/>
      <c r="R23" s="7"/>
      <c r="S23" s="7"/>
      <c r="U23" s="6"/>
      <c r="W23" s="1"/>
      <c r="X23" s="1"/>
      <c r="Y23" s="11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S23" s="6"/>
      <c r="BT23" s="6"/>
      <c r="BU23" s="6"/>
      <c r="BV23" s="6"/>
      <c r="BX23" s="6"/>
      <c r="BY23" s="6"/>
      <c r="BZ23" s="6"/>
      <c r="CA23" s="6"/>
      <c r="CB23" s="6"/>
      <c r="CC23" s="6"/>
      <c r="CD23" s="6"/>
      <c r="CE23" s="6"/>
      <c r="CF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J23" s="6"/>
      <c r="DK23" s="6"/>
      <c r="DL23" s="6"/>
      <c r="DM23" s="6"/>
      <c r="DN23" s="6"/>
      <c r="DO23" s="6"/>
      <c r="DP23" s="6"/>
    </row>
    <row r="24" spans="1:120" ht="27">
      <c r="A24" s="9">
        <f ca="1">IF(COUNTIF($AA$1:$BXX$24,24) = 0,RAND(),RAND()-1)</f>
        <v>6.6496559944263178E-2</v>
      </c>
      <c r="B24" s="2">
        <f t="shared" ca="1" si="0"/>
        <v>92</v>
      </c>
      <c r="C24" s="1">
        <v>24</v>
      </c>
      <c r="D24" s="1" t="s">
        <v>78</v>
      </c>
      <c r="E24" s="1" t="s">
        <v>79</v>
      </c>
      <c r="F24" s="1"/>
      <c r="H24">
        <v>24</v>
      </c>
      <c r="M24" s="8" t="s">
        <v>80</v>
      </c>
      <c r="N24" t="s">
        <v>3972</v>
      </c>
      <c r="O24" s="7"/>
      <c r="Q24" s="8"/>
      <c r="R24" s="7"/>
      <c r="S24" s="7"/>
      <c r="U24" s="6"/>
      <c r="W24" s="1"/>
      <c r="X24" s="1"/>
      <c r="Y24" s="11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S24" s="6"/>
      <c r="BT24" s="6"/>
      <c r="BU24" s="6"/>
      <c r="BV24" s="6"/>
      <c r="BX24" s="6"/>
      <c r="BY24" s="6"/>
      <c r="BZ24" s="6"/>
      <c r="CA24" s="6"/>
      <c r="CB24" s="6"/>
      <c r="CC24" s="6"/>
      <c r="CD24" s="6"/>
      <c r="CE24" s="6"/>
      <c r="CF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J24" s="6"/>
      <c r="DK24" s="6"/>
      <c r="DL24" s="6"/>
      <c r="DM24" s="6"/>
      <c r="DN24" s="6"/>
      <c r="DO24" s="6"/>
      <c r="DP24" s="6"/>
    </row>
    <row r="25" spans="1:120" ht="27">
      <c r="A25" s="9">
        <f ca="1">IF(COUNTIF($AA$1:$BXX$24,25) = 0,RAND(),RAND()-1)</f>
        <v>0.4220958775689192</v>
      </c>
      <c r="B25" s="2">
        <f t="shared" ca="1" si="0"/>
        <v>59</v>
      </c>
      <c r="C25" s="1">
        <v>25</v>
      </c>
      <c r="D25" s="1" t="s">
        <v>81</v>
      </c>
      <c r="E25" s="1" t="s">
        <v>82</v>
      </c>
      <c r="F25" s="1"/>
      <c r="H25">
        <v>25</v>
      </c>
      <c r="M25" s="8" t="s">
        <v>83</v>
      </c>
      <c r="N25" t="s">
        <v>3972</v>
      </c>
      <c r="O25" s="7"/>
      <c r="Q25" s="8"/>
      <c r="R25" s="7"/>
      <c r="S25" s="7"/>
      <c r="U25" s="6"/>
      <c r="W25" s="1"/>
      <c r="X25" s="1"/>
      <c r="Y25" s="11"/>
      <c r="AR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S25" s="6"/>
      <c r="BT25" s="6"/>
      <c r="BU25" s="6"/>
      <c r="BV25" s="6"/>
      <c r="BX25" s="6"/>
      <c r="CP25" s="6"/>
      <c r="CR25" s="6"/>
      <c r="CT25" s="6"/>
      <c r="CU25" s="6"/>
      <c r="CV25" s="6"/>
      <c r="CX25" s="6"/>
      <c r="DA25" s="6"/>
      <c r="DB25" s="6"/>
      <c r="DC25" s="6"/>
      <c r="DD25" s="6"/>
      <c r="DE25" s="6"/>
      <c r="DF25" s="6"/>
      <c r="DG25" s="6"/>
      <c r="DJ25" s="6"/>
      <c r="DK25" s="6"/>
      <c r="DL25" s="6"/>
      <c r="DM25" s="6"/>
      <c r="DN25" s="6"/>
      <c r="DO25" s="6"/>
      <c r="DP25" s="6"/>
    </row>
    <row r="26" spans="1:120" ht="27">
      <c r="A26" s="9">
        <f ca="1">IF(COUNTIF($AA$1:$BXX$24,26) = 0,RAND(),RAND()-1)</f>
        <v>0.95183054178455928</v>
      </c>
      <c r="B26" s="2">
        <f t="shared" ca="1" si="0"/>
        <v>4</v>
      </c>
      <c r="C26" s="1">
        <v>26</v>
      </c>
      <c r="D26" s="1" t="s">
        <v>84</v>
      </c>
      <c r="E26" s="1" t="s">
        <v>85</v>
      </c>
      <c r="G26" t="s">
        <v>86</v>
      </c>
      <c r="H26">
        <v>1</v>
      </c>
      <c r="I26" s="1"/>
      <c r="K26" s="1"/>
      <c r="M26" s="8" t="s">
        <v>87</v>
      </c>
      <c r="N26" t="s">
        <v>3972</v>
      </c>
      <c r="O26" s="7"/>
      <c r="Q26" s="8"/>
      <c r="R26" s="7"/>
      <c r="S26" s="7"/>
      <c r="U26" s="6"/>
      <c r="W26" s="1"/>
      <c r="X26" s="1"/>
      <c r="Y26" s="11"/>
    </row>
    <row r="27" spans="1:120" ht="27">
      <c r="A27" s="9">
        <f ca="1">IF(COUNTIF($AA$1:$BXX$24,27) = 0,RAND(),RAND()-1)</f>
        <v>0.60205952822536124</v>
      </c>
      <c r="B27" s="2">
        <f t="shared" ca="1" si="0"/>
        <v>38</v>
      </c>
      <c r="C27" s="1">
        <v>27</v>
      </c>
      <c r="D27" s="1" t="s">
        <v>88</v>
      </c>
      <c r="E27" s="1" t="s">
        <v>89</v>
      </c>
      <c r="H27">
        <v>2</v>
      </c>
      <c r="I27" s="1"/>
      <c r="K27" s="1"/>
      <c r="R27">
        <f>COUNTA(R2:R26)</f>
        <v>0</v>
      </c>
      <c r="S27">
        <f>COUNTA(S2:S26)</f>
        <v>0</v>
      </c>
      <c r="W27" s="1"/>
      <c r="X27" s="1"/>
      <c r="Y27" s="11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</row>
    <row r="28" spans="1:120" ht="27">
      <c r="A28" s="9">
        <f ca="1">IF(COUNTIF($AA$1:$BXX$24,28) = 0,RAND(),RAND()-1)</f>
        <v>0.67623395155823107</v>
      </c>
      <c r="B28" s="2">
        <f t="shared" ca="1" si="0"/>
        <v>28</v>
      </c>
      <c r="C28" s="1">
        <v>28</v>
      </c>
      <c r="D28" s="1" t="s">
        <v>90</v>
      </c>
      <c r="E28" s="1" t="s">
        <v>91</v>
      </c>
      <c r="H28">
        <v>3</v>
      </c>
      <c r="I28" s="1"/>
      <c r="K28" s="1"/>
      <c r="O28" t="b">
        <v>1</v>
      </c>
      <c r="W28" s="1"/>
      <c r="X28" s="1"/>
      <c r="Y28" s="11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O28" s="6"/>
      <c r="CP28" s="6"/>
      <c r="CQ28" s="6"/>
      <c r="CS28" s="6"/>
      <c r="CV28" s="6"/>
      <c r="CX28" s="6"/>
      <c r="CY28" s="6"/>
      <c r="CZ28" s="6"/>
      <c r="DF28" s="6"/>
      <c r="DG28" s="6"/>
      <c r="DH28" s="6"/>
      <c r="DI28" s="6"/>
      <c r="DJ28" s="6"/>
      <c r="DK28" s="6"/>
      <c r="DL28" s="6"/>
      <c r="DM28" s="6"/>
      <c r="DN28" s="6"/>
      <c r="DO28" s="6"/>
    </row>
    <row r="29" spans="1:120" ht="27">
      <c r="A29" s="9">
        <f ca="1">IF(COUNTIF($AA$1:$BXX$24,29) = 0,RAND(),RAND()-1)</f>
        <v>0.66652045124631787</v>
      </c>
      <c r="B29" s="2">
        <f t="shared" ca="1" si="0"/>
        <v>29</v>
      </c>
      <c r="C29" s="1">
        <v>29</v>
      </c>
      <c r="D29" s="1" t="s">
        <v>92</v>
      </c>
      <c r="E29" s="1" t="s">
        <v>93</v>
      </c>
      <c r="H29">
        <v>4</v>
      </c>
      <c r="I29" s="1"/>
      <c r="K29" s="1"/>
      <c r="W29" s="1"/>
      <c r="X29" s="1"/>
      <c r="Y29" s="11"/>
      <c r="AX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O29" s="6"/>
      <c r="CP29" s="6"/>
      <c r="CQ29" s="6"/>
      <c r="CS29" s="6"/>
      <c r="CX29" s="6"/>
      <c r="CY29" s="6"/>
      <c r="CZ29" s="6"/>
      <c r="DF29" s="6"/>
      <c r="DG29" s="6"/>
      <c r="DH29" s="6"/>
      <c r="DI29" s="6"/>
      <c r="DJ29" s="6"/>
      <c r="DK29" s="6"/>
      <c r="DL29" s="6"/>
      <c r="DM29" s="6"/>
      <c r="DN29" s="6"/>
      <c r="DO29" s="6"/>
    </row>
    <row r="30" spans="1:120" ht="27">
      <c r="A30" s="9">
        <f ca="1">IF(COUNTIF($AA$1:$BXX$24,30) = 0,RAND(),RAND()-1)</f>
        <v>0.32035312612746647</v>
      </c>
      <c r="B30" s="2">
        <f t="shared" ca="1" si="0"/>
        <v>72</v>
      </c>
      <c r="C30" s="1">
        <v>30</v>
      </c>
      <c r="D30" s="1" t="s">
        <v>94</v>
      </c>
      <c r="E30" s="1" t="s">
        <v>95</v>
      </c>
      <c r="H30">
        <v>5</v>
      </c>
      <c r="I30" s="1"/>
      <c r="K30" s="1"/>
      <c r="W30" s="1"/>
      <c r="X30" s="1"/>
      <c r="Y30" s="11"/>
      <c r="AX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O30" s="6"/>
      <c r="CP30" s="6"/>
      <c r="CQ30" s="6"/>
      <c r="CS30" s="6"/>
      <c r="CX30" s="6"/>
      <c r="CY30" s="6"/>
      <c r="CZ30" s="6"/>
      <c r="DF30" s="6"/>
      <c r="DG30" s="6"/>
      <c r="DH30" s="6"/>
      <c r="DI30" s="6"/>
      <c r="DJ30" s="6"/>
      <c r="DK30" s="6"/>
      <c r="DL30" s="6"/>
      <c r="DM30" s="6"/>
      <c r="DN30" s="6"/>
      <c r="DO30" s="6"/>
    </row>
    <row r="31" spans="1:120" ht="27">
      <c r="A31" s="9">
        <f ca="1">IF(COUNTIF($AA$1:$BXX$24,31) = 0,RAND(),RAND()-1)</f>
        <v>0.35392333523136743</v>
      </c>
      <c r="B31" s="2">
        <f t="shared" ca="1" si="0"/>
        <v>66</v>
      </c>
      <c r="C31" s="1">
        <v>31</v>
      </c>
      <c r="D31" s="1" t="s">
        <v>96</v>
      </c>
      <c r="E31" s="1" t="s">
        <v>97</v>
      </c>
      <c r="H31">
        <v>6</v>
      </c>
      <c r="W31" s="1"/>
      <c r="X31" s="1"/>
      <c r="Y31" s="11"/>
      <c r="AV31" s="6"/>
      <c r="AX31" s="6"/>
      <c r="BB31" s="6"/>
      <c r="BC31" s="6"/>
      <c r="BF31" s="6"/>
      <c r="BL31" s="6"/>
      <c r="BM31" s="6"/>
      <c r="BN31" s="6"/>
      <c r="BO31" s="6"/>
      <c r="BP31" s="6"/>
      <c r="BQ31" s="6"/>
      <c r="BR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O31" s="6"/>
      <c r="CP31" s="6"/>
      <c r="CQ31" s="6"/>
      <c r="CS31" s="6"/>
      <c r="CX31" s="6"/>
      <c r="CY31" s="6"/>
      <c r="CZ31" s="6"/>
      <c r="DF31" s="6"/>
      <c r="DG31" s="6"/>
      <c r="DH31" s="6"/>
      <c r="DI31" s="6"/>
      <c r="DJ31" s="6"/>
      <c r="DK31" s="6"/>
      <c r="DL31" s="6"/>
      <c r="DM31" s="6"/>
      <c r="DN31" s="6"/>
      <c r="DO31" s="6"/>
    </row>
    <row r="32" spans="1:120" ht="27">
      <c r="A32" s="9">
        <f ca="1">IF(COUNTIF($AA$1:$BXX$24,32) = 0,RAND(),RAND()-1)</f>
        <v>0.32022486373069226</v>
      </c>
      <c r="B32" s="2">
        <f t="shared" ca="1" si="0"/>
        <v>73</v>
      </c>
      <c r="C32" s="1">
        <v>32</v>
      </c>
      <c r="D32" s="1" t="s">
        <v>98</v>
      </c>
      <c r="E32" s="1" t="s">
        <v>99</v>
      </c>
      <c r="H32">
        <v>7</v>
      </c>
      <c r="W32" s="1"/>
      <c r="X32" s="1"/>
      <c r="Y32" s="11"/>
      <c r="AN32" s="6"/>
      <c r="AO32" s="6"/>
      <c r="AV32" s="6"/>
      <c r="AX32" s="6"/>
      <c r="BB32" s="6"/>
      <c r="BC32" s="6"/>
      <c r="BF32" s="6"/>
      <c r="BI32" s="6"/>
      <c r="BL32" s="6"/>
      <c r="BM32" s="6"/>
      <c r="BN32" s="6"/>
      <c r="BO32" s="6"/>
      <c r="BP32" s="6"/>
      <c r="BQ32" s="6"/>
      <c r="BR32" s="6"/>
      <c r="BV32" s="6"/>
      <c r="BW32" s="6"/>
      <c r="BY32" s="6"/>
      <c r="BZ32" s="6"/>
      <c r="CA32" s="6"/>
      <c r="CB32" s="6"/>
      <c r="CC32" s="6"/>
      <c r="CG32" s="6"/>
      <c r="CO32" s="6"/>
      <c r="CP32" s="6"/>
      <c r="CX32" s="6"/>
      <c r="CY32" s="6"/>
      <c r="DF32" s="6"/>
      <c r="DG32" s="6"/>
      <c r="DH32" s="6"/>
      <c r="DI32" s="6"/>
      <c r="DJ32" s="6"/>
      <c r="DK32" s="6"/>
      <c r="DL32" s="6"/>
      <c r="DM32" s="6"/>
      <c r="DN32" s="6"/>
      <c r="DO32" s="6"/>
    </row>
    <row r="33" spans="1:119" ht="27">
      <c r="A33" s="9">
        <f ca="1">IF(COUNTIF($AA$1:$BXX$24,33) = 0,RAND(),RAND()-1)</f>
        <v>0.42265383679630397</v>
      </c>
      <c r="B33" s="2">
        <f t="shared" ca="1" si="0"/>
        <v>57</v>
      </c>
      <c r="C33" s="1">
        <v>33</v>
      </c>
      <c r="D33" s="1" t="s">
        <v>100</v>
      </c>
      <c r="E33" s="1" t="s">
        <v>101</v>
      </c>
      <c r="H33">
        <v>8</v>
      </c>
      <c r="W33" s="1"/>
      <c r="X33" s="1"/>
      <c r="Y33" s="11"/>
      <c r="AN33" s="6"/>
      <c r="AO33" s="6"/>
      <c r="AS33" s="6"/>
      <c r="AX33" s="6"/>
      <c r="BI33" s="6"/>
      <c r="BJ33" s="6"/>
      <c r="BL33" s="6"/>
      <c r="BM33" s="6"/>
      <c r="BN33" s="6"/>
      <c r="BO33" s="6"/>
      <c r="BP33" s="6"/>
      <c r="BQ33" s="6"/>
      <c r="BR33" s="6"/>
      <c r="BV33" s="6"/>
      <c r="BW33" s="6"/>
      <c r="BY33" s="6"/>
      <c r="CG33" s="6"/>
      <c r="CO33" s="6"/>
      <c r="CP33" s="6"/>
      <c r="CX33" s="6"/>
      <c r="CY33" s="6"/>
      <c r="DF33" s="6"/>
      <c r="DG33" s="6"/>
      <c r="DH33" s="6"/>
      <c r="DI33" s="6"/>
      <c r="DJ33" s="6"/>
      <c r="DK33" s="6"/>
      <c r="DL33" s="6"/>
      <c r="DM33" s="6"/>
      <c r="DN33" s="6"/>
      <c r="DO33" s="6"/>
    </row>
    <row r="34" spans="1:119" ht="27">
      <c r="A34" s="9">
        <f ca="1">IF(COUNTIF($AA$1:$BXX$24,34) = 0,RAND(),RAND()-1)</f>
        <v>0.46161029180234292</v>
      </c>
      <c r="B34" s="2">
        <f t="shared" ca="1" si="0"/>
        <v>52</v>
      </c>
      <c r="C34" s="1">
        <v>34</v>
      </c>
      <c r="D34" s="1" t="s">
        <v>102</v>
      </c>
      <c r="E34" s="1" t="s">
        <v>103</v>
      </c>
      <c r="H34">
        <v>9</v>
      </c>
      <c r="N34" s="12"/>
      <c r="O34" s="12"/>
      <c r="P34" s="12"/>
      <c r="Q34" s="12"/>
      <c r="R34" s="12"/>
      <c r="S34" s="12"/>
      <c r="T34" s="12"/>
      <c r="U34" s="6"/>
      <c r="W34" s="1"/>
      <c r="X34" s="1"/>
      <c r="Y34" s="11"/>
      <c r="AN34" s="6"/>
      <c r="AO34" s="6"/>
      <c r="AQ34" s="6"/>
      <c r="AR34" s="6"/>
      <c r="AX34" s="6"/>
      <c r="BA34" s="6"/>
      <c r="BI34" s="6"/>
      <c r="BJ34" s="6"/>
      <c r="BM34" s="6"/>
      <c r="BN34" s="6"/>
      <c r="BO34" s="6"/>
      <c r="BQ34" s="6"/>
      <c r="BR34" s="6"/>
      <c r="BV34" s="6"/>
      <c r="BW34" s="6"/>
      <c r="BY34" s="6"/>
      <c r="CG34" s="6"/>
      <c r="CO34" s="6"/>
      <c r="CP34" s="6"/>
      <c r="CX34" s="6"/>
      <c r="CY34" s="6"/>
      <c r="DN34" s="6"/>
      <c r="DO34" s="6"/>
    </row>
    <row r="35" spans="1:119" ht="27">
      <c r="A35" s="9">
        <f ca="1">IF(COUNTIF($AA$1:$BXX$24,35) = 0,RAND(),RAND()-1)</f>
        <v>0.26283145233332317</v>
      </c>
      <c r="B35" s="2">
        <f t="shared" ca="1" si="0"/>
        <v>77</v>
      </c>
      <c r="C35" s="1">
        <v>35</v>
      </c>
      <c r="D35" s="1" t="s">
        <v>104</v>
      </c>
      <c r="E35" s="1" t="s">
        <v>105</v>
      </c>
      <c r="H35">
        <v>10</v>
      </c>
      <c r="N35" s="6"/>
      <c r="O35" s="6"/>
      <c r="P35" s="6"/>
      <c r="Q35" s="6"/>
      <c r="R35" s="6"/>
      <c r="S35" s="6"/>
      <c r="T35" s="6"/>
      <c r="U35" s="6"/>
      <c r="W35" s="1"/>
      <c r="X35" s="1"/>
      <c r="Y35" s="11"/>
      <c r="AN35" s="6"/>
      <c r="AO35" s="6"/>
      <c r="AQ35" s="6"/>
      <c r="AR35" s="6"/>
      <c r="BA35" s="6"/>
      <c r="BI35" s="6"/>
      <c r="BJ35" s="6"/>
      <c r="BR35" s="6"/>
      <c r="BV35" s="6"/>
      <c r="BW35" s="6"/>
      <c r="BY35" s="6"/>
      <c r="CG35" s="6"/>
      <c r="CO35" s="6"/>
      <c r="CP35" s="6"/>
      <c r="CX35" s="6"/>
      <c r="CY35" s="6"/>
      <c r="DN35" s="6"/>
      <c r="DO35" s="6"/>
    </row>
    <row r="36" spans="1:119" ht="27">
      <c r="A36" s="9">
        <f ca="1">IF(COUNTIF($AA$1:$BXX$24,36) = 0,RAND(),RAND()-1)</f>
        <v>0.53079725617978568</v>
      </c>
      <c r="B36" s="2">
        <f t="shared" ca="1" si="0"/>
        <v>44</v>
      </c>
      <c r="C36" s="1">
        <v>36</v>
      </c>
      <c r="D36" s="1" t="s">
        <v>106</v>
      </c>
      <c r="E36" s="1" t="s">
        <v>107</v>
      </c>
      <c r="H36">
        <v>11</v>
      </c>
      <c r="N36" s="6"/>
      <c r="O36" s="6"/>
      <c r="P36" s="6"/>
      <c r="Q36" s="6"/>
      <c r="R36" s="6"/>
      <c r="S36" s="6"/>
      <c r="T36" s="6"/>
      <c r="U36" s="6"/>
      <c r="W36" s="1"/>
      <c r="X36" s="1"/>
      <c r="Y36" s="11"/>
      <c r="AN36" s="6"/>
      <c r="AO36" s="6"/>
      <c r="AP36" s="6"/>
      <c r="AQ36" s="6"/>
      <c r="AR36" s="6"/>
      <c r="BA36" s="6"/>
      <c r="BJ36" s="6"/>
      <c r="BR36" s="6"/>
      <c r="BW36" s="6"/>
      <c r="BY36" s="6"/>
      <c r="CG36" s="6"/>
      <c r="CO36" s="6"/>
      <c r="CP36" s="6"/>
      <c r="CX36" s="6"/>
      <c r="CY36" s="6"/>
      <c r="DN36" s="6"/>
      <c r="DO36" s="6"/>
    </row>
    <row r="37" spans="1:119" ht="27">
      <c r="A37" s="9">
        <f ca="1">IF(COUNTIF($AA$1:$BXX$24,37) = 0,RAND(),RAND()-1)</f>
        <v>0.56535071106888002</v>
      </c>
      <c r="B37" s="2">
        <f t="shared" ca="1" si="0"/>
        <v>40</v>
      </c>
      <c r="C37" s="1">
        <v>37</v>
      </c>
      <c r="D37" s="1" t="s">
        <v>108</v>
      </c>
      <c r="E37" s="1" t="s">
        <v>109</v>
      </c>
      <c r="H37">
        <v>12</v>
      </c>
      <c r="N37" s="6"/>
      <c r="O37" s="6"/>
      <c r="P37" s="6"/>
      <c r="Q37" s="6"/>
      <c r="R37" s="6"/>
      <c r="S37" s="6"/>
      <c r="T37" s="6"/>
      <c r="U37" s="6"/>
      <c r="W37" s="1"/>
      <c r="X37" s="1"/>
      <c r="Y37" s="11"/>
      <c r="Z37" s="6"/>
      <c r="AN37" s="6"/>
      <c r="AO37" s="6"/>
      <c r="AQ37" s="6"/>
      <c r="BA37" s="6"/>
      <c r="BJ37" s="6"/>
      <c r="BR37" s="6"/>
      <c r="BW37" s="6"/>
      <c r="BY37" s="6"/>
      <c r="CG37" s="6"/>
      <c r="CO37" s="6"/>
      <c r="CP37" s="6"/>
      <c r="CX37" s="6"/>
      <c r="CY37" s="6"/>
      <c r="DN37" s="6"/>
      <c r="DO37" s="6"/>
    </row>
    <row r="38" spans="1:119" ht="27">
      <c r="A38" s="9">
        <f ca="1">IF(COUNTIF($AA$1:$BXX$24,38) = 0,RAND(),RAND()-1)</f>
        <v>8.6630549499221443E-3</v>
      </c>
      <c r="B38" s="2">
        <f t="shared" ca="1" si="0"/>
        <v>100</v>
      </c>
      <c r="C38" s="1">
        <v>38</v>
      </c>
      <c r="D38" s="1" t="s">
        <v>110</v>
      </c>
      <c r="E38" s="1" t="s">
        <v>111</v>
      </c>
      <c r="H38">
        <v>13</v>
      </c>
      <c r="N38" s="6"/>
      <c r="O38" s="6"/>
      <c r="P38" s="6"/>
      <c r="Q38" s="6"/>
      <c r="R38" s="6"/>
      <c r="S38" s="6"/>
      <c r="T38" s="6"/>
      <c r="U38" s="6"/>
      <c r="W38" s="1"/>
      <c r="X38" s="1"/>
      <c r="Y38" s="11"/>
      <c r="Z38" s="6"/>
      <c r="AO38" s="6"/>
      <c r="AQ38" s="6"/>
      <c r="BA38" s="6"/>
      <c r="BJ38" s="6"/>
      <c r="BR38" s="6"/>
      <c r="BW38" s="6"/>
      <c r="BY38" s="6"/>
      <c r="CG38" s="6"/>
      <c r="CO38" s="6"/>
      <c r="CP38" s="6"/>
      <c r="CX38" s="6"/>
      <c r="CY38" s="6"/>
    </row>
    <row r="39" spans="1:119" ht="27">
      <c r="A39" s="9">
        <f ca="1">IF(COUNTIF($AA$1:$BXX$24,39) = 0,RAND(),RAND()-1)</f>
        <v>4.6420066940466964E-2</v>
      </c>
      <c r="B39" s="2">
        <f t="shared" ca="1" si="0"/>
        <v>95</v>
      </c>
      <c r="C39" s="1">
        <v>39</v>
      </c>
      <c r="D39" s="1" t="s">
        <v>112</v>
      </c>
      <c r="E39" s="1" t="s">
        <v>113</v>
      </c>
      <c r="H39">
        <v>14</v>
      </c>
      <c r="N39" s="6"/>
      <c r="O39" s="6"/>
      <c r="P39" s="6"/>
      <c r="Q39" s="6"/>
      <c r="R39" s="6"/>
      <c r="S39" s="6"/>
      <c r="T39" s="6"/>
      <c r="U39" s="6"/>
      <c r="W39" s="1"/>
      <c r="X39" s="1"/>
      <c r="Y39" s="11"/>
      <c r="Z39" s="6"/>
      <c r="AO39" s="6"/>
      <c r="AQ39" s="6"/>
      <c r="BA39" s="6"/>
      <c r="BR39" s="6"/>
      <c r="BW39" s="6"/>
      <c r="BY39" s="6"/>
      <c r="CG39" s="6"/>
      <c r="CO39" s="6"/>
      <c r="CP39" s="6"/>
      <c r="CX39" s="6"/>
      <c r="CY39" s="6"/>
    </row>
    <row r="40" spans="1:119" ht="27">
      <c r="A40" s="9">
        <f ca="1">IF(COUNTIF($AA$1:$BXX$24,40) = 0,RAND(),RAND()-1)</f>
        <v>8.0029714110201211E-2</v>
      </c>
      <c r="B40" s="2">
        <f t="shared" ca="1" si="0"/>
        <v>91</v>
      </c>
      <c r="C40" s="1">
        <v>40</v>
      </c>
      <c r="D40" s="1" t="s">
        <v>114</v>
      </c>
      <c r="E40" s="1" t="s">
        <v>115</v>
      </c>
      <c r="H40">
        <v>15</v>
      </c>
      <c r="N40" s="6"/>
      <c r="O40" s="6"/>
      <c r="P40" s="6"/>
      <c r="Q40" s="6"/>
      <c r="R40" s="6"/>
      <c r="S40" s="6"/>
      <c r="T40" s="6"/>
      <c r="U40" s="6"/>
      <c r="W40" s="1"/>
      <c r="X40" s="1"/>
      <c r="Y40" s="11"/>
      <c r="Z40" s="6"/>
      <c r="AO40" s="6"/>
      <c r="AQ40" s="6"/>
      <c r="BA40" s="6"/>
      <c r="BR40" s="6"/>
      <c r="BY40" s="6"/>
      <c r="CG40" s="6"/>
      <c r="CO40" s="6"/>
      <c r="CP40" s="6"/>
      <c r="CX40" s="6"/>
      <c r="CY40" s="6"/>
    </row>
    <row r="41" spans="1:119" ht="27">
      <c r="A41" s="9">
        <f ca="1">IF(COUNTIF($AA$1:$BXX$24,41) = 0,RAND(),RAND()-1)</f>
        <v>0.17178276127562675</v>
      </c>
      <c r="B41" s="2">
        <f t="shared" ca="1" si="0"/>
        <v>85</v>
      </c>
      <c r="C41" s="1">
        <v>41</v>
      </c>
      <c r="D41" s="1" t="s">
        <v>116</v>
      </c>
      <c r="E41" s="1" t="s">
        <v>117</v>
      </c>
      <c r="H41">
        <v>16</v>
      </c>
      <c r="N41" s="6"/>
      <c r="O41" s="6"/>
      <c r="P41" s="6"/>
      <c r="Q41" s="6"/>
      <c r="R41" s="6"/>
      <c r="S41" s="6"/>
      <c r="T41" s="6"/>
      <c r="U41" s="6"/>
      <c r="W41" s="1"/>
      <c r="X41" s="1"/>
      <c r="Y41" s="11"/>
      <c r="AO41" s="6"/>
      <c r="AQ41" s="6"/>
      <c r="BA41" s="6"/>
      <c r="BR41" s="6"/>
      <c r="BY41" s="6"/>
      <c r="CG41" s="6"/>
      <c r="CO41" s="6"/>
      <c r="CP41" s="6"/>
      <c r="CX41" s="6"/>
      <c r="CY41" s="6"/>
    </row>
    <row r="42" spans="1:119" ht="27">
      <c r="A42" s="9">
        <f ca="1">IF(COUNTIF($AA$1:$BXX$24,42) = 0,RAND(),RAND()-1)</f>
        <v>0.94613820123369219</v>
      </c>
      <c r="B42" s="2">
        <f t="shared" ca="1" si="0"/>
        <v>5</v>
      </c>
      <c r="C42" s="1">
        <v>42</v>
      </c>
      <c r="D42" s="1" t="s">
        <v>118</v>
      </c>
      <c r="E42" s="1" t="s">
        <v>119</v>
      </c>
      <c r="H42">
        <v>17</v>
      </c>
      <c r="N42" s="6"/>
      <c r="O42" s="6"/>
      <c r="P42" s="6"/>
      <c r="Q42" s="6"/>
      <c r="R42" s="6"/>
      <c r="S42" s="6"/>
      <c r="T42" s="6"/>
      <c r="U42" s="6"/>
      <c r="W42" s="1"/>
      <c r="X42" s="1"/>
      <c r="Y42" s="11"/>
      <c r="AO42" s="6"/>
      <c r="AQ42" s="6"/>
      <c r="BA42" s="6"/>
      <c r="BR42" s="6"/>
      <c r="BY42" s="6"/>
      <c r="CG42" s="6"/>
      <c r="CO42" s="6"/>
      <c r="CP42" s="6"/>
      <c r="CX42" s="6"/>
      <c r="CY42" s="6"/>
    </row>
    <row r="43" spans="1:119" ht="27">
      <c r="A43" s="9">
        <f ca="1">IF(COUNTIF($AA$1:$BXX$24,43) = 0,RAND(),RAND()-1)</f>
        <v>0.65747141130414621</v>
      </c>
      <c r="B43" s="2">
        <f t="shared" ca="1" si="0"/>
        <v>30</v>
      </c>
      <c r="C43" s="1">
        <v>43</v>
      </c>
      <c r="D43" s="1" t="s">
        <v>120</v>
      </c>
      <c r="E43" s="1" t="s">
        <v>121</v>
      </c>
      <c r="H43">
        <v>18</v>
      </c>
      <c r="N43" s="6"/>
      <c r="O43" s="6"/>
      <c r="P43" s="6"/>
      <c r="Q43" s="6"/>
      <c r="R43" s="6"/>
      <c r="S43" s="6"/>
      <c r="T43" s="6"/>
      <c r="U43" s="6"/>
      <c r="W43" s="1"/>
      <c r="X43" s="1"/>
      <c r="Y43" s="11"/>
      <c r="Z43" s="6"/>
      <c r="AO43" s="6"/>
      <c r="AQ43" s="6"/>
      <c r="BA43" s="6"/>
      <c r="BR43" s="6"/>
      <c r="BY43" s="6"/>
      <c r="CG43" s="6"/>
      <c r="CO43" s="6"/>
      <c r="CP43" s="6"/>
      <c r="CX43" s="6"/>
      <c r="CY43" s="6"/>
    </row>
    <row r="44" spans="1:119" ht="27">
      <c r="A44" s="9">
        <f ca="1">IF(COUNTIF($AA$1:$BXX$24,44) = 0,RAND(),RAND()-1)</f>
        <v>0.96794308352051983</v>
      </c>
      <c r="B44" s="2">
        <f t="shared" ca="1" si="0"/>
        <v>3</v>
      </c>
      <c r="C44" s="1">
        <v>44</v>
      </c>
      <c r="D44" s="1" t="s">
        <v>122</v>
      </c>
      <c r="E44" s="1" t="s">
        <v>123</v>
      </c>
      <c r="H44">
        <v>19</v>
      </c>
      <c r="N44" s="6"/>
      <c r="O44" s="6"/>
      <c r="P44" s="6"/>
      <c r="Q44" s="6"/>
      <c r="R44" s="6"/>
      <c r="S44" s="6"/>
      <c r="T44" s="6"/>
      <c r="U44" s="6"/>
      <c r="W44" s="1"/>
      <c r="X44" s="1"/>
      <c r="Y44" s="11"/>
      <c r="AO44" s="6"/>
      <c r="AQ44" s="6"/>
      <c r="BA44" s="6"/>
      <c r="BR44" s="6"/>
      <c r="BY44" s="6"/>
      <c r="CG44" s="6"/>
      <c r="CO44" s="6"/>
      <c r="CP44" s="6"/>
      <c r="CX44" s="6"/>
      <c r="CY44" s="6"/>
    </row>
    <row r="45" spans="1:119" ht="27">
      <c r="A45" s="9">
        <f ca="1">IF(COUNTIF($AA$1:$BXX$24,45) = 0,RAND(),RAND()-1)</f>
        <v>0.50733670515499341</v>
      </c>
      <c r="B45" s="2">
        <f t="shared" ca="1" si="0"/>
        <v>47</v>
      </c>
      <c r="C45" s="1">
        <v>45</v>
      </c>
      <c r="D45" s="1" t="s">
        <v>124</v>
      </c>
      <c r="E45" s="1" t="s">
        <v>125</v>
      </c>
      <c r="H45">
        <v>20</v>
      </c>
      <c r="N45" s="6"/>
      <c r="O45" s="6"/>
      <c r="P45" s="6"/>
      <c r="Q45" s="6"/>
      <c r="R45" s="6"/>
      <c r="S45" s="6"/>
      <c r="T45" s="6"/>
      <c r="U45" s="6"/>
      <c r="W45" s="1"/>
      <c r="X45" s="1"/>
      <c r="Y45" s="11"/>
      <c r="Z45" s="6"/>
      <c r="AO45" s="6"/>
      <c r="AQ45" s="6"/>
      <c r="BA45" s="6"/>
      <c r="BR45" s="6"/>
      <c r="BY45" s="6"/>
      <c r="CG45" s="6"/>
      <c r="CO45" s="6"/>
      <c r="CP45" s="6"/>
      <c r="CX45" s="6"/>
      <c r="CY45" s="6"/>
    </row>
    <row r="46" spans="1:119" ht="27">
      <c r="A46" s="9">
        <f ca="1">IF(COUNTIF($AA$1:$BXX$24,46) = 0,RAND(),RAND()-1)</f>
        <v>4.5652275356545591E-2</v>
      </c>
      <c r="B46" s="2">
        <f t="shared" ca="1" si="0"/>
        <v>96</v>
      </c>
      <c r="C46" s="1">
        <v>46</v>
      </c>
      <c r="D46" s="1" t="s">
        <v>126</v>
      </c>
      <c r="E46" s="1" t="s">
        <v>127</v>
      </c>
      <c r="H46">
        <v>21</v>
      </c>
      <c r="N46" s="6"/>
      <c r="O46" s="6"/>
      <c r="P46" s="6"/>
      <c r="Q46" s="6"/>
      <c r="R46" s="6"/>
      <c r="S46" s="6"/>
      <c r="T46" s="6"/>
      <c r="U46" s="6"/>
      <c r="W46" s="1"/>
      <c r="X46" s="1"/>
      <c r="Y46" s="11"/>
      <c r="AO46" s="6"/>
      <c r="BA46" s="6"/>
      <c r="BR46" s="6"/>
      <c r="BY46" s="6"/>
      <c r="CG46" s="6"/>
      <c r="CO46" s="6"/>
      <c r="CP46" s="6"/>
      <c r="CX46" s="6"/>
      <c r="CY46" s="6"/>
    </row>
    <row r="47" spans="1:119" ht="27">
      <c r="A47" s="9">
        <f ca="1">IF(COUNTIF($AA$1:$BXX$24,47) = 0,RAND(),RAND()-1)</f>
        <v>0.83498701958466015</v>
      </c>
      <c r="B47" s="2">
        <f t="shared" ca="1" si="0"/>
        <v>15</v>
      </c>
      <c r="C47" s="1">
        <v>47</v>
      </c>
      <c r="D47" s="1" t="s">
        <v>128</v>
      </c>
      <c r="E47" s="1" t="s">
        <v>129</v>
      </c>
      <c r="H47">
        <v>22</v>
      </c>
      <c r="N47" s="6"/>
      <c r="O47" s="6"/>
      <c r="P47" s="6"/>
      <c r="Q47" s="6"/>
      <c r="R47" s="6"/>
      <c r="S47" s="6"/>
      <c r="T47" s="6"/>
      <c r="U47" s="6"/>
      <c r="Y47" s="11"/>
      <c r="Z47" s="6"/>
      <c r="AO47" s="6"/>
      <c r="BA47" s="6"/>
      <c r="BR47" s="6"/>
      <c r="BY47" s="6"/>
      <c r="CG47" s="6"/>
      <c r="CO47" s="6"/>
      <c r="CP47" s="6"/>
      <c r="CX47" s="6"/>
      <c r="CY47" s="6"/>
    </row>
    <row r="48" spans="1:119" ht="27">
      <c r="A48" s="9">
        <f ca="1">IF(COUNTIF($AA$1:$BXX$24,48) = 0,RAND(),RAND()-1)</f>
        <v>5.9505884504938877E-2</v>
      </c>
      <c r="B48" s="2">
        <f t="shared" ca="1" si="0"/>
        <v>94</v>
      </c>
      <c r="C48" s="1">
        <v>48</v>
      </c>
      <c r="D48" s="1" t="s">
        <v>130</v>
      </c>
      <c r="E48" s="1" t="s">
        <v>131</v>
      </c>
      <c r="H48">
        <v>23</v>
      </c>
      <c r="N48" s="6"/>
      <c r="O48" s="6"/>
      <c r="P48" s="6"/>
      <c r="Q48" s="6"/>
      <c r="R48" s="6"/>
      <c r="S48" s="6"/>
      <c r="T48" s="6"/>
      <c r="U48" s="6"/>
      <c r="Y48" s="11"/>
      <c r="AO48" s="6"/>
      <c r="BA48" s="6"/>
      <c r="BR48" s="6"/>
      <c r="BY48" s="6"/>
      <c r="CG48" s="6"/>
      <c r="CO48" s="6"/>
      <c r="CP48" s="6"/>
      <c r="CX48" s="6"/>
      <c r="CY48" s="6"/>
    </row>
    <row r="49" spans="1:94" ht="27">
      <c r="A49" s="9">
        <f ca="1">IF(COUNTIF($AA$1:$BXX$24,49) = 0,RAND(),RAND()-1)</f>
        <v>0.98526356330040932</v>
      </c>
      <c r="B49" s="2">
        <f t="shared" ca="1" si="0"/>
        <v>1</v>
      </c>
      <c r="C49" s="1">
        <v>49</v>
      </c>
      <c r="D49" s="1" t="s">
        <v>132</v>
      </c>
      <c r="E49" s="1" t="s">
        <v>133</v>
      </c>
      <c r="H49">
        <v>24</v>
      </c>
      <c r="N49" s="6"/>
      <c r="O49" s="6"/>
      <c r="P49" s="6"/>
      <c r="Q49" s="6"/>
      <c r="R49" s="6"/>
      <c r="S49" s="6"/>
      <c r="T49" s="6"/>
      <c r="U49" s="6"/>
      <c r="Y49" s="11"/>
      <c r="Z49" s="6"/>
      <c r="AO49" s="6"/>
      <c r="BA49" s="6"/>
      <c r="BR49" s="6"/>
      <c r="BY49" s="6"/>
      <c r="CG49" s="6"/>
      <c r="CO49" s="6"/>
      <c r="CP49" s="6"/>
    </row>
    <row r="50" spans="1:94" ht="27">
      <c r="A50" s="9">
        <f ca="1">IF(COUNTIF($AA$1:$BXX$24,50) = 0,RAND(),RAND()-1)</f>
        <v>0.44038475912242037</v>
      </c>
      <c r="B50" s="2">
        <f t="shared" ca="1" si="0"/>
        <v>53</v>
      </c>
      <c r="C50" s="1">
        <v>50</v>
      </c>
      <c r="D50" s="1" t="s">
        <v>134</v>
      </c>
      <c r="E50" s="1" t="s">
        <v>135</v>
      </c>
      <c r="H50">
        <v>25</v>
      </c>
      <c r="N50" s="6"/>
      <c r="O50" s="6"/>
      <c r="P50" s="6"/>
      <c r="Q50" s="6"/>
      <c r="R50" s="6"/>
      <c r="S50" s="6"/>
      <c r="T50" s="6"/>
      <c r="U50" s="6"/>
      <c r="Y50" s="11"/>
      <c r="AO50" s="6"/>
      <c r="BA50" s="6"/>
      <c r="BR50" s="6"/>
      <c r="BY50" s="6"/>
      <c r="CG50" s="6"/>
      <c r="CO50" s="6"/>
      <c r="CP50" s="6"/>
    </row>
    <row r="51" spans="1:94" ht="27">
      <c r="A51" s="9">
        <f ca="1">IF(COUNTIF($AA$1:$BXX$24,51) = 0,RAND(),RAND()-1)</f>
        <v>0.28642247885465744</v>
      </c>
      <c r="B51" s="2">
        <f t="shared" ca="1" si="0"/>
        <v>75</v>
      </c>
      <c r="C51" s="1">
        <v>51</v>
      </c>
      <c r="D51" s="1" t="s">
        <v>136</v>
      </c>
      <c r="E51" s="1" t="s">
        <v>137</v>
      </c>
      <c r="N51" s="6"/>
      <c r="O51" s="6"/>
      <c r="P51" s="6"/>
      <c r="Q51" s="6"/>
      <c r="R51" s="6"/>
      <c r="S51" s="6"/>
      <c r="T51" s="6"/>
      <c r="U51" s="6"/>
      <c r="Y51" s="11"/>
      <c r="Z51" s="6"/>
      <c r="AO51" s="6"/>
      <c r="BA51" s="6"/>
      <c r="BR51" s="6"/>
      <c r="BY51" s="6"/>
      <c r="CG51" s="6"/>
      <c r="CO51" s="6"/>
      <c r="CP51" s="6"/>
    </row>
    <row r="52" spans="1:94" ht="27">
      <c r="A52" s="9">
        <f ca="1">IF(COUNTIF($AA$1:$BXX$24,52) = 0,RAND(),RAND()-1)</f>
        <v>0.88407696644960276</v>
      </c>
      <c r="B52" s="2">
        <f t="shared" ca="1" si="0"/>
        <v>10</v>
      </c>
      <c r="C52" s="1">
        <v>52</v>
      </c>
      <c r="D52" s="1" t="s">
        <v>138</v>
      </c>
      <c r="E52" s="1" t="s">
        <v>139</v>
      </c>
      <c r="N52" s="6"/>
      <c r="O52" s="6"/>
      <c r="P52" s="6"/>
      <c r="Q52" s="6"/>
      <c r="R52" s="6"/>
      <c r="S52" s="6"/>
      <c r="T52" s="6"/>
      <c r="U52" s="6"/>
      <c r="Y52" s="11"/>
    </row>
    <row r="53" spans="1:94" ht="27">
      <c r="A53" s="9">
        <f ca="1">IF(COUNTIF($AA$1:$BXX$24,53) = 0,RAND(),RAND()-1)</f>
        <v>0.14915429796440283</v>
      </c>
      <c r="B53" s="2">
        <f t="shared" ca="1" si="0"/>
        <v>86</v>
      </c>
      <c r="C53" s="1">
        <v>53</v>
      </c>
      <c r="D53" s="1" t="s">
        <v>140</v>
      </c>
      <c r="E53" s="1" t="s">
        <v>141</v>
      </c>
      <c r="N53" s="6"/>
      <c r="O53" s="6"/>
      <c r="P53" s="6"/>
      <c r="Q53" s="6"/>
      <c r="R53" s="6"/>
      <c r="S53" s="6"/>
      <c r="T53" s="6"/>
      <c r="U53" s="6"/>
      <c r="Y53" s="11"/>
      <c r="Z53" s="6"/>
    </row>
    <row r="54" spans="1:94" ht="27">
      <c r="A54" s="9">
        <f ca="1">IF(COUNTIF($AA$1:$BXX$24,54) = 0,RAND(),RAND()-1)</f>
        <v>0.86433399397838573</v>
      </c>
      <c r="B54" s="2">
        <f t="shared" ca="1" si="0"/>
        <v>12</v>
      </c>
      <c r="C54" s="1">
        <v>54</v>
      </c>
      <c r="D54" s="1" t="s">
        <v>142</v>
      </c>
      <c r="E54" s="1" t="s">
        <v>143</v>
      </c>
      <c r="N54" s="6"/>
      <c r="O54" s="6"/>
      <c r="P54" s="6"/>
      <c r="Q54" s="6"/>
      <c r="R54" s="6"/>
      <c r="S54" s="6"/>
      <c r="T54" s="6"/>
      <c r="U54" s="6"/>
      <c r="W54" s="1"/>
      <c r="X54" s="1"/>
      <c r="Y54" s="11"/>
    </row>
    <row r="55" spans="1:94" ht="27">
      <c r="A55" s="9">
        <f ca="1">IF(COUNTIF($AA$1:$BXX$24,55) = 0,RAND(),RAND()-1)</f>
        <v>0.89274604167521965</v>
      </c>
      <c r="B55" s="2">
        <f t="shared" ca="1" si="0"/>
        <v>8</v>
      </c>
      <c r="C55" s="1">
        <v>55</v>
      </c>
      <c r="D55" s="1" t="s">
        <v>144</v>
      </c>
      <c r="E55" s="1" t="s">
        <v>145</v>
      </c>
      <c r="H55">
        <v>1</v>
      </c>
      <c r="I55" s="5" t="str">
        <f ca="1">VLOOKUP(H55,$B$1:$E$2027,3+$G$3,FALSE)</f>
        <v>refer</v>
      </c>
      <c r="J55">
        <f ca="1">VLOOKUP(H55,$B$1:$E$2027,2+$G$3,FALSE)</f>
        <v>49</v>
      </c>
      <c r="K55" s="2" t="str">
        <f ca="1">VLOOKUP(H55,$B$1:$E$2027,4+$G$3,FALSE)</f>
        <v>～を指示する</v>
      </c>
      <c r="N55" s="6"/>
      <c r="O55" s="6"/>
      <c r="P55" s="6"/>
      <c r="Q55" s="6"/>
      <c r="R55" s="6"/>
      <c r="S55" s="6"/>
      <c r="T55" s="6"/>
      <c r="U55" s="6"/>
      <c r="W55" s="1"/>
      <c r="X55" s="1"/>
      <c r="Y55" s="11"/>
      <c r="Z55" s="6"/>
    </row>
    <row r="56" spans="1:94" ht="27">
      <c r="A56" s="9">
        <f ca="1">IF(COUNTIF($AA$1:$BXX$24,56) = 0,RAND(),RAND()-1)</f>
        <v>0.77599758875650615</v>
      </c>
      <c r="B56" s="2">
        <f t="shared" ca="1" si="0"/>
        <v>23</v>
      </c>
      <c r="C56" s="1">
        <v>56</v>
      </c>
      <c r="D56" s="1" t="s">
        <v>146</v>
      </c>
      <c r="E56" s="1" t="s">
        <v>147</v>
      </c>
      <c r="H56">
        <v>2</v>
      </c>
      <c r="I56" s="5" t="str">
        <f ca="1">VLOOKUP(H56,$B$1:$E$2027,3+$G$3,FALSE)</f>
        <v>convince</v>
      </c>
      <c r="J56">
        <f t="shared" ref="J56:J58" ca="1" si="1">VLOOKUP(H56,$B$1:$E$2027,2+$G$3,FALSE)</f>
        <v>99</v>
      </c>
      <c r="K56" s="2" t="str">
        <f t="shared" ref="K56:K74" ca="1" si="2">VLOOKUP(H56,$B$1:$E$2027,4+$G$3,FALSE)</f>
        <v>～を納得させる、確信させる</v>
      </c>
      <c r="N56" s="6"/>
      <c r="O56" s="6"/>
      <c r="P56" s="6"/>
      <c r="Q56" s="6"/>
      <c r="R56" s="6"/>
      <c r="S56" s="6"/>
      <c r="T56" s="6"/>
      <c r="U56" s="6"/>
      <c r="W56" s="1"/>
      <c r="X56" s="1"/>
      <c r="Y56" s="11"/>
    </row>
    <row r="57" spans="1:94" ht="27">
      <c r="A57" s="9">
        <f ca="1">IF(COUNTIF($AA$1:$BXX$24,57) = 0,RAND(),RAND()-1)</f>
        <v>0.37510375906796567</v>
      </c>
      <c r="B57" s="2">
        <f t="shared" ca="1" si="0"/>
        <v>64</v>
      </c>
      <c r="C57" s="1">
        <v>57</v>
      </c>
      <c r="D57" s="1" t="s">
        <v>148</v>
      </c>
      <c r="E57" s="1" t="s">
        <v>149</v>
      </c>
      <c r="H57">
        <v>3</v>
      </c>
      <c r="I57" s="5" t="str">
        <f ca="1">VLOOKUP(H57,$B$1:$E$2027,3+$G$3,FALSE)</f>
        <v>treat</v>
      </c>
      <c r="J57">
        <f t="shared" ca="1" si="1"/>
        <v>44</v>
      </c>
      <c r="K57" s="2" t="str">
        <f t="shared" ca="1" si="2"/>
        <v>～をあつかう</v>
      </c>
      <c r="N57" s="6"/>
      <c r="O57" s="6"/>
      <c r="P57" s="6"/>
      <c r="Q57" s="6"/>
      <c r="R57" s="6"/>
      <c r="S57" s="6"/>
      <c r="T57" s="6"/>
      <c r="U57" s="6"/>
      <c r="W57" s="1"/>
      <c r="X57" s="1"/>
      <c r="Y57" s="11"/>
      <c r="Z57" s="6"/>
    </row>
    <row r="58" spans="1:94" ht="27">
      <c r="A58" s="9">
        <f ca="1">IF(COUNTIF($AA$1:$BXX$24,58) = 0,RAND(),RAND()-1)</f>
        <v>0.80292877975624166</v>
      </c>
      <c r="B58" s="2">
        <f t="shared" ca="1" si="0"/>
        <v>21</v>
      </c>
      <c r="C58" s="1">
        <v>58</v>
      </c>
      <c r="D58" s="1" t="s">
        <v>150</v>
      </c>
      <c r="E58" s="1" t="s">
        <v>151</v>
      </c>
      <c r="H58">
        <v>4</v>
      </c>
      <c r="I58" s="5" t="str">
        <f t="shared" ref="I58:I59" ca="1" si="3">VLOOKUP(H58,$B$1:$E$2027,3+$G$3,FALSE)</f>
        <v>hire</v>
      </c>
      <c r="J58">
        <f t="shared" ca="1" si="1"/>
        <v>26</v>
      </c>
      <c r="K58" s="2" t="str">
        <f t="shared" ca="1" si="2"/>
        <v>～を雇う</v>
      </c>
      <c r="N58" s="6"/>
      <c r="O58" s="6"/>
      <c r="P58" s="6"/>
      <c r="Q58" s="6"/>
      <c r="R58" s="6"/>
      <c r="S58" s="6"/>
      <c r="T58" s="6"/>
      <c r="U58" s="6"/>
      <c r="W58" s="1"/>
      <c r="X58" s="1"/>
      <c r="Y58" s="11"/>
    </row>
    <row r="59" spans="1:94" ht="27">
      <c r="A59" s="9">
        <f ca="1">IF(COUNTIF($AA$1:$BXX$24,59) = 0,RAND(),RAND()-1)</f>
        <v>0.42210728817259291</v>
      </c>
      <c r="B59" s="2">
        <f t="shared" ca="1" si="0"/>
        <v>58</v>
      </c>
      <c r="C59" s="1">
        <v>59</v>
      </c>
      <c r="D59" s="1" t="s">
        <v>152</v>
      </c>
      <c r="E59" s="1" t="s">
        <v>153</v>
      </c>
      <c r="H59">
        <v>5</v>
      </c>
      <c r="I59" s="5" t="str">
        <f t="shared" ca="1" si="3"/>
        <v>encourage</v>
      </c>
      <c r="J59">
        <f ca="1">VLOOKUP(H59,$B$1:$E$2027,2+$G$3,FALSE)</f>
        <v>42</v>
      </c>
      <c r="K59" s="2" t="str">
        <f t="shared" ca="1" si="2"/>
        <v>はげます</v>
      </c>
      <c r="N59" s="6"/>
      <c r="O59" s="6"/>
      <c r="P59" s="6"/>
      <c r="Q59" s="6"/>
      <c r="R59" s="6"/>
      <c r="S59" s="6"/>
      <c r="T59" s="6"/>
      <c r="U59" s="6"/>
      <c r="Y59" s="11"/>
      <c r="Z59" s="6"/>
    </row>
    <row r="60" spans="1:94" ht="27">
      <c r="A60" s="9">
        <f ca="1">IF(COUNTIF($AA$1:$BXX$24,60) = 0,RAND(),RAND()-1)</f>
        <v>0.1152819120267804</v>
      </c>
      <c r="B60" s="2">
        <f t="shared" ca="1" si="0"/>
        <v>88</v>
      </c>
      <c r="C60" s="1">
        <v>60</v>
      </c>
      <c r="D60" s="1" t="s">
        <v>154</v>
      </c>
      <c r="E60" s="1" t="s">
        <v>155</v>
      </c>
      <c r="H60">
        <v>6</v>
      </c>
      <c r="I60" s="5" t="str">
        <f ca="1">VLOOKUP(H60,$B$1:$E$2027,3+$G$3,FALSE)</f>
        <v>escape</v>
      </c>
      <c r="J60">
        <f t="shared" ref="J60:J78" ca="1" si="4">VLOOKUP(H60,$B$1:$E$2027,2+$G$3,FALSE)</f>
        <v>76</v>
      </c>
      <c r="K60" s="2" t="str">
        <f t="shared" ca="1" si="2"/>
        <v>逃げる</v>
      </c>
      <c r="Y60" s="11"/>
    </row>
    <row r="61" spans="1:94" ht="27">
      <c r="A61" s="9">
        <f ca="1">IF(COUNTIF($AA$1:$BXX$24,61) = 0,RAND(),RAND()-1)</f>
        <v>0.85877437094852527</v>
      </c>
      <c r="B61" s="2">
        <f t="shared" ca="1" si="0"/>
        <v>13</v>
      </c>
      <c r="C61" s="1">
        <v>61</v>
      </c>
      <c r="D61" s="1" t="s">
        <v>156</v>
      </c>
      <c r="E61" s="1" t="s">
        <v>157</v>
      </c>
      <c r="H61">
        <v>7</v>
      </c>
      <c r="I61" s="5" t="str">
        <f t="shared" ref="I61" ca="1" si="5">VLOOKUP(H61,$B$1:$E$2027,3+$G$3,FALSE)</f>
        <v>admit</v>
      </c>
      <c r="J61">
        <f t="shared" ca="1" si="4"/>
        <v>63</v>
      </c>
      <c r="K61" s="2" t="str">
        <f t="shared" ca="1" si="2"/>
        <v>～を認める</v>
      </c>
      <c r="Y61" s="11"/>
      <c r="Z61" s="6"/>
    </row>
    <row r="62" spans="1:94" ht="27">
      <c r="A62" s="9">
        <f ca="1">IF(COUNTIF($AA$1:$BXX$24,62) = 0,RAND(),RAND()-1)</f>
        <v>2.5970385792470352E-2</v>
      </c>
      <c r="B62" s="2">
        <f t="shared" ca="1" si="0"/>
        <v>99</v>
      </c>
      <c r="C62" s="1">
        <v>62</v>
      </c>
      <c r="D62" s="1" t="s">
        <v>158</v>
      </c>
      <c r="E62" s="1" t="s">
        <v>159</v>
      </c>
      <c r="H62">
        <v>8</v>
      </c>
      <c r="I62" s="5" t="str">
        <f ca="1">VLOOKUP(H62,$B$1:$E$2027,3+$G$3,FALSE)</f>
        <v>search</v>
      </c>
      <c r="J62">
        <f t="shared" ca="1" si="4"/>
        <v>55</v>
      </c>
      <c r="K62" s="2" t="str">
        <f t="shared" ca="1" si="2"/>
        <v>～を捜す</v>
      </c>
      <c r="Y62" s="11"/>
    </row>
    <row r="63" spans="1:94" ht="27">
      <c r="A63" s="9">
        <f ca="1">IF(COUNTIF($AA$1:$BXX$24,63) = 0,RAND(),RAND()-1)</f>
        <v>0.93386719614690772</v>
      </c>
      <c r="B63" s="2">
        <f t="shared" ca="1" si="0"/>
        <v>7</v>
      </c>
      <c r="C63" s="1">
        <v>63</v>
      </c>
      <c r="D63" s="1" t="s">
        <v>160</v>
      </c>
      <c r="E63" s="1" t="s">
        <v>95</v>
      </c>
      <c r="H63">
        <v>9</v>
      </c>
      <c r="I63" s="5" t="str">
        <f t="shared" ref="I63:I74" ca="1" si="6">VLOOKUP(H63,$B$1:$E$2027,3+$G$3,FALSE)</f>
        <v>acquire</v>
      </c>
      <c r="J63">
        <f t="shared" ca="1" si="4"/>
        <v>73</v>
      </c>
      <c r="K63" s="2" t="str">
        <f t="shared" ca="1" si="2"/>
        <v>～を習得する</v>
      </c>
      <c r="Y63" s="11"/>
      <c r="Z63" s="6"/>
    </row>
    <row r="64" spans="1:94" ht="27">
      <c r="A64" s="9">
        <f ca="1">IF(COUNTIF($AA$1:$BXX$24,64) = 0,RAND(),RAND()-1)</f>
        <v>0.18166564490136283</v>
      </c>
      <c r="B64" s="2">
        <f t="shared" ca="1" si="0"/>
        <v>84</v>
      </c>
      <c r="C64" s="1">
        <v>64</v>
      </c>
      <c r="D64" s="1" t="s">
        <v>161</v>
      </c>
      <c r="E64" s="1" t="s">
        <v>162</v>
      </c>
      <c r="H64">
        <v>10</v>
      </c>
      <c r="I64" s="5" t="str">
        <f t="shared" ca="1" si="6"/>
        <v>destroy</v>
      </c>
      <c r="J64">
        <f t="shared" ca="1" si="4"/>
        <v>52</v>
      </c>
      <c r="K64" s="2" t="str">
        <f t="shared" ca="1" si="2"/>
        <v>～を破壊する</v>
      </c>
      <c r="Y64" s="11"/>
    </row>
    <row r="65" spans="1:26" ht="27">
      <c r="A65" s="9">
        <f ca="1">IF(COUNTIF($AA$1:$BXX$24,65) = 0,RAND(),RAND()-1)</f>
        <v>0.33378282445346796</v>
      </c>
      <c r="B65" s="2">
        <f t="shared" ref="B65:B128" ca="1" si="7">RANK(A65,OFFSET($A$1,$G$1-1,0,$G$2-$G$1+1))</f>
        <v>69</v>
      </c>
      <c r="C65" s="1">
        <v>65</v>
      </c>
      <c r="D65" s="1" t="s">
        <v>163</v>
      </c>
      <c r="E65" s="1" t="s">
        <v>164</v>
      </c>
      <c r="H65">
        <v>11</v>
      </c>
      <c r="I65" s="5" t="str">
        <f t="shared" ca="1" si="6"/>
        <v>remove</v>
      </c>
      <c r="J65">
        <f t="shared" ca="1" si="4"/>
        <v>89</v>
      </c>
      <c r="K65" s="2" t="str">
        <f t="shared" ca="1" si="2"/>
        <v>～を移す、取り去る</v>
      </c>
      <c r="Y65" s="11"/>
      <c r="Z65" s="6"/>
    </row>
    <row r="66" spans="1:26" ht="27">
      <c r="A66" s="9">
        <f ca="1">IF(COUNTIF($AA$1:$BXX$24,66) = 0,RAND(),RAND()-1)</f>
        <v>0.46742543156529637</v>
      </c>
      <c r="B66" s="2">
        <f t="shared" ca="1" si="7"/>
        <v>51</v>
      </c>
      <c r="C66" s="1">
        <v>66</v>
      </c>
      <c r="D66" s="1" t="s">
        <v>165</v>
      </c>
      <c r="E66" s="1" t="s">
        <v>166</v>
      </c>
      <c r="H66">
        <v>12</v>
      </c>
      <c r="I66" s="5" t="str">
        <f t="shared" ca="1" si="6"/>
        <v>seek</v>
      </c>
      <c r="J66">
        <f t="shared" ca="1" si="4"/>
        <v>54</v>
      </c>
      <c r="K66" s="2" t="str">
        <f t="shared" ca="1" si="2"/>
        <v>～を求める</v>
      </c>
      <c r="Y66" s="11"/>
    </row>
    <row r="67" spans="1:26" ht="27">
      <c r="A67" s="9">
        <f ca="1">IF(COUNTIF($AA$1:$BXX$24,67) = 0,RAND(),RAND()-1)</f>
        <v>0.8228410296708647</v>
      </c>
      <c r="B67" s="2">
        <f t="shared" ca="1" si="7"/>
        <v>19</v>
      </c>
      <c r="C67" s="1">
        <v>67</v>
      </c>
      <c r="D67" s="1" t="s">
        <v>167</v>
      </c>
      <c r="E67" s="1" t="s">
        <v>168</v>
      </c>
      <c r="H67">
        <v>13</v>
      </c>
      <c r="I67" s="5" t="str">
        <f t="shared" ca="1" si="6"/>
        <v>judge</v>
      </c>
      <c r="J67">
        <f t="shared" ca="1" si="4"/>
        <v>61</v>
      </c>
      <c r="K67" s="2" t="str">
        <f t="shared" ca="1" si="2"/>
        <v>～を判断する</v>
      </c>
      <c r="Y67" s="11"/>
      <c r="Z67" s="6"/>
    </row>
    <row r="68" spans="1:26" ht="27">
      <c r="A68" s="9">
        <f ca="1">IF(COUNTIF($AA$1:$BXX$24,68) = 0,RAND(),RAND()-1)</f>
        <v>0.64940837781805349</v>
      </c>
      <c r="B68" s="2">
        <f t="shared" ca="1" si="7"/>
        <v>34</v>
      </c>
      <c r="C68" s="1">
        <v>68</v>
      </c>
      <c r="D68" s="1" t="s">
        <v>169</v>
      </c>
      <c r="E68" s="1" t="s">
        <v>170</v>
      </c>
      <c r="H68">
        <v>14</v>
      </c>
      <c r="I68" s="5" t="str">
        <f t="shared" ca="1" si="6"/>
        <v>reach</v>
      </c>
      <c r="J68">
        <f t="shared" ca="1" si="4"/>
        <v>11</v>
      </c>
      <c r="K68" s="2" t="str">
        <f t="shared" ca="1" si="2"/>
        <v>～に着く、～に達する</v>
      </c>
      <c r="Y68" s="11"/>
    </row>
    <row r="69" spans="1:26" ht="27">
      <c r="A69" s="9">
        <f ca="1">IF(COUNTIF($AA$1:$BXX$24,69) = 0,RAND(),RAND()-1)</f>
        <v>0.81125812476681003</v>
      </c>
      <c r="B69" s="2">
        <f t="shared" ca="1" si="7"/>
        <v>20</v>
      </c>
      <c r="C69" s="1">
        <v>69</v>
      </c>
      <c r="D69" s="1" t="s">
        <v>171</v>
      </c>
      <c r="E69" s="1" t="s">
        <v>147</v>
      </c>
      <c r="H69">
        <v>15</v>
      </c>
      <c r="I69" s="5" t="str">
        <f t="shared" ca="1" si="6"/>
        <v>compare</v>
      </c>
      <c r="J69">
        <f t="shared" ca="1" si="4"/>
        <v>47</v>
      </c>
      <c r="K69" s="2" t="str">
        <f t="shared" ca="1" si="2"/>
        <v>～を比較する、～をたとえる</v>
      </c>
      <c r="Y69" s="11"/>
      <c r="Z69" s="6"/>
    </row>
    <row r="70" spans="1:26" ht="27">
      <c r="A70" s="9">
        <f ca="1">IF(COUNTIF($AA$1:$BXX$24,70) = 0,RAND(),RAND()-1)</f>
        <v>6.4152462044974157E-2</v>
      </c>
      <c r="B70" s="2">
        <f t="shared" ca="1" si="7"/>
        <v>93</v>
      </c>
      <c r="C70" s="1">
        <v>70</v>
      </c>
      <c r="D70" s="1" t="s">
        <v>172</v>
      </c>
      <c r="E70" s="1" t="s">
        <v>173</v>
      </c>
      <c r="H70">
        <v>16</v>
      </c>
      <c r="I70" s="5" t="str">
        <f t="shared" ca="1" si="6"/>
        <v>force</v>
      </c>
      <c r="J70">
        <f t="shared" ca="1" si="4"/>
        <v>13</v>
      </c>
      <c r="K70" s="2" t="str">
        <f t="shared" ca="1" si="2"/>
        <v>～を強制する</v>
      </c>
      <c r="Y70" s="11"/>
    </row>
    <row r="71" spans="1:26" ht="27">
      <c r="A71" s="9">
        <f ca="1">IF(COUNTIF($AA$1:$BXX$24,71) = 0,RAND(),RAND()-1)</f>
        <v>0.29905356102919356</v>
      </c>
      <c r="B71" s="2">
        <f t="shared" ca="1" si="7"/>
        <v>74</v>
      </c>
      <c r="C71" s="1">
        <v>71</v>
      </c>
      <c r="D71" s="1" t="s">
        <v>174</v>
      </c>
      <c r="E71" s="1" t="s">
        <v>175</v>
      </c>
      <c r="H71">
        <v>17</v>
      </c>
      <c r="I71" s="5" t="str">
        <f t="shared" ca="1" si="6"/>
        <v>tend</v>
      </c>
      <c r="J71">
        <f t="shared" ca="1" si="4"/>
        <v>21</v>
      </c>
      <c r="K71" s="2" t="str">
        <f t="shared" ca="1" si="2"/>
        <v>～する傾向がある、～しがちである</v>
      </c>
      <c r="Y71" s="11"/>
      <c r="Z71" s="6"/>
    </row>
    <row r="72" spans="1:26" ht="27">
      <c r="A72" s="9">
        <f ca="1">IF(COUNTIF($AA$1:$BXX$24,72) = 0,RAND(),RAND()-1)</f>
        <v>0.4959674603007308</v>
      </c>
      <c r="B72" s="2">
        <f t="shared" ca="1" si="7"/>
        <v>48</v>
      </c>
      <c r="C72" s="1">
        <v>72</v>
      </c>
      <c r="D72" s="1" t="s">
        <v>176</v>
      </c>
      <c r="E72" s="1" t="s">
        <v>177</v>
      </c>
      <c r="H72">
        <v>18</v>
      </c>
      <c r="I72" s="5" t="str">
        <f t="shared" ca="1" si="6"/>
        <v>estimate</v>
      </c>
      <c r="J72">
        <f t="shared" ca="1" si="4"/>
        <v>81</v>
      </c>
      <c r="K72" s="2" t="str">
        <f t="shared" ca="1" si="2"/>
        <v>～を推定する</v>
      </c>
      <c r="Y72" s="11"/>
    </row>
    <row r="73" spans="1:26" ht="27">
      <c r="A73" s="9">
        <f ca="1">IF(COUNTIF($AA$1:$BXX$24,73) = 0,RAND(),RAND()-1)</f>
        <v>0.88491040976220037</v>
      </c>
      <c r="B73" s="2">
        <f t="shared" ca="1" si="7"/>
        <v>9</v>
      </c>
      <c r="C73" s="1">
        <v>73</v>
      </c>
      <c r="D73" s="1" t="s">
        <v>178</v>
      </c>
      <c r="E73" s="1" t="s">
        <v>179</v>
      </c>
      <c r="H73">
        <v>19</v>
      </c>
      <c r="I73" s="5" t="str">
        <f t="shared" ca="1" si="6"/>
        <v>survive</v>
      </c>
      <c r="J73">
        <f t="shared" ca="1" si="4"/>
        <v>67</v>
      </c>
      <c r="K73" s="2" t="str">
        <f t="shared" ca="1" si="2"/>
        <v>生き残る</v>
      </c>
      <c r="Y73" s="11"/>
      <c r="Z73" s="6"/>
    </row>
    <row r="74" spans="1:26" ht="27">
      <c r="A74" s="9">
        <f ca="1">IF(COUNTIF($AA$1:$BXX$24,74) = 0,RAND(),RAND()-1)</f>
        <v>0.38549801726494648</v>
      </c>
      <c r="B74" s="2">
        <f t="shared" ca="1" si="7"/>
        <v>63</v>
      </c>
      <c r="C74" s="1">
        <v>74</v>
      </c>
      <c r="D74" s="1" t="s">
        <v>180</v>
      </c>
      <c r="E74" s="1" t="s">
        <v>181</v>
      </c>
      <c r="H74">
        <v>20</v>
      </c>
      <c r="I74" s="5" t="str">
        <f t="shared" ca="1" si="6"/>
        <v>argue</v>
      </c>
      <c r="J74">
        <f t="shared" ca="1" si="4"/>
        <v>69</v>
      </c>
      <c r="K74" s="2" t="str">
        <f t="shared" ca="1" si="2"/>
        <v>～と主張する</v>
      </c>
      <c r="Y74" s="11"/>
    </row>
    <row r="75" spans="1:26" ht="27">
      <c r="A75" s="9">
        <f ca="1">IF(COUNTIF($AA$1:$BXX$24,75) = 0,RAND(),RAND()-1)</f>
        <v>0.32504364781736284</v>
      </c>
      <c r="B75" s="2">
        <f t="shared" ca="1" si="7"/>
        <v>70</v>
      </c>
      <c r="C75" s="1">
        <v>75</v>
      </c>
      <c r="D75" s="1" t="s">
        <v>182</v>
      </c>
      <c r="E75" s="1" t="s">
        <v>183</v>
      </c>
      <c r="H75">
        <v>21</v>
      </c>
      <c r="I75" s="5" t="str">
        <f ca="1">VLOOKUP(H75,$B$1:$E$2027,3+$G$3,FALSE)</f>
        <v>refuse</v>
      </c>
      <c r="J75">
        <f t="shared" ca="1" si="4"/>
        <v>58</v>
      </c>
      <c r="K75" s="2" t="str">
        <f ca="1">VLOOKUP(H75,$B$1:$E$2027,4+$G$3,FALSE)</f>
        <v>～を断る</v>
      </c>
      <c r="Y75" s="11"/>
      <c r="Z75" s="6"/>
    </row>
    <row r="76" spans="1:26" ht="27">
      <c r="A76" s="9">
        <f ca="1">IF(COUNTIF($AA$1:$BXX$24,76) = 0,RAND(),RAND()-1)</f>
        <v>0.93645109258693171</v>
      </c>
      <c r="B76" s="2">
        <f t="shared" ca="1" si="7"/>
        <v>6</v>
      </c>
      <c r="C76" s="1">
        <v>76</v>
      </c>
      <c r="D76" s="1" t="s">
        <v>184</v>
      </c>
      <c r="E76" s="1" t="s">
        <v>185</v>
      </c>
      <c r="H76">
        <v>22</v>
      </c>
      <c r="I76" s="5" t="str">
        <f ca="1">VLOOKUP(H76,$B$1:$E$2027,3+$G$3,FALSE)</f>
        <v>wonder</v>
      </c>
      <c r="J76">
        <f t="shared" ca="1" si="4"/>
        <v>19</v>
      </c>
      <c r="K76" s="2" t="str">
        <f ca="1">VLOOKUP(H76,$B$1:$E$2027,4+$G$3,FALSE)</f>
        <v>～かと疑問に思う</v>
      </c>
      <c r="Y76" s="11"/>
    </row>
    <row r="77" spans="1:26" ht="27">
      <c r="A77" s="9">
        <f ca="1">IF(COUNTIF($AA$1:$BXX$24,77) = 0,RAND(),RAND()-1)</f>
        <v>0.43170246138519364</v>
      </c>
      <c r="B77" s="2">
        <f t="shared" ca="1" si="7"/>
        <v>55</v>
      </c>
      <c r="C77" s="1">
        <v>77</v>
      </c>
      <c r="D77" s="1" t="s">
        <v>186</v>
      </c>
      <c r="E77" s="1" t="s">
        <v>187</v>
      </c>
      <c r="H77">
        <v>23</v>
      </c>
      <c r="I77" s="5" t="str">
        <f t="shared" ref="I77:I79" ca="1" si="8">VLOOKUP(H77,$B$1:$E$2027,3+$G$4,FALSE)</f>
        <v>～と主張する</v>
      </c>
      <c r="J77">
        <f t="shared" ca="1" si="4"/>
        <v>56</v>
      </c>
      <c r="K77" s="2" t="str">
        <f t="shared" ref="K77:K79" ca="1" si="9">VLOOKUP(H77,$B$1:$E$2027,3+$G$3,FALSE)</f>
        <v>claim</v>
      </c>
      <c r="Y77" s="11"/>
      <c r="Z77" s="6"/>
    </row>
    <row r="78" spans="1:26" ht="27">
      <c r="A78" s="9">
        <f ca="1">IF(COUNTIF($AA$1:$BXX$24,78) = 0,RAND(),RAND()-1)</f>
        <v>0.11594584916444817</v>
      </c>
      <c r="B78" s="2">
        <f t="shared" ca="1" si="7"/>
        <v>87</v>
      </c>
      <c r="C78" s="1">
        <v>78</v>
      </c>
      <c r="D78" s="1" t="s">
        <v>188</v>
      </c>
      <c r="E78" s="1" t="s">
        <v>189</v>
      </c>
      <c r="H78">
        <v>24</v>
      </c>
      <c r="I78" s="5" t="str">
        <f t="shared" ca="1" si="8"/>
        <v>～を考慮する</v>
      </c>
      <c r="J78">
        <f t="shared" ca="1" si="4"/>
        <v>2</v>
      </c>
      <c r="K78" s="2" t="str">
        <f t="shared" ca="1" si="9"/>
        <v>consider</v>
      </c>
      <c r="Y78" s="11"/>
    </row>
    <row r="79" spans="1:26" ht="27">
      <c r="A79" s="9">
        <f ca="1">IF(COUNTIF($AA$1:$BXX$24,79) = 0,RAND(),RAND()-1)</f>
        <v>0.53867757388380544</v>
      </c>
      <c r="B79" s="2">
        <f t="shared" ca="1" si="7"/>
        <v>42</v>
      </c>
      <c r="C79" s="1">
        <v>79</v>
      </c>
      <c r="D79" s="1" t="s">
        <v>190</v>
      </c>
      <c r="E79" s="1" t="s">
        <v>191</v>
      </c>
      <c r="H79">
        <v>25</v>
      </c>
      <c r="I79" s="5" t="str">
        <f t="shared" ca="1" si="8"/>
        <v>衰退する、低下する、～を辞退する</v>
      </c>
      <c r="J79">
        <f ca="1">VLOOKUP(H79,$B$1:$E$2027,2+$G$3,FALSE)</f>
        <v>84</v>
      </c>
      <c r="K79" s="2" t="str">
        <f t="shared" ca="1" si="9"/>
        <v>decline</v>
      </c>
      <c r="Y79" s="11"/>
      <c r="Z79" s="6"/>
    </row>
    <row r="80" spans="1:26" ht="25">
      <c r="A80" s="9">
        <f ca="1">IF(COUNTIF($AA$1:$BXX$24,80) = 0,RAND(),RAND()-1)</f>
        <v>0.65489707567441968</v>
      </c>
      <c r="B80" s="2">
        <f t="shared" ca="1" si="7"/>
        <v>32</v>
      </c>
      <c r="C80" s="1">
        <v>80</v>
      </c>
      <c r="D80" s="1" t="s">
        <v>192</v>
      </c>
      <c r="E80" s="1" t="s">
        <v>193</v>
      </c>
      <c r="Y80" s="11"/>
    </row>
    <row r="81" spans="1:26" ht="27">
      <c r="A81" s="9">
        <f ca="1">IF(COUNTIF($AA$1:$BXX$24,81) = 0,RAND(),RAND()-1)</f>
        <v>0.82698315710200976</v>
      </c>
      <c r="B81" s="2">
        <f t="shared" ca="1" si="7"/>
        <v>18</v>
      </c>
      <c r="C81" s="1">
        <v>81</v>
      </c>
      <c r="D81" s="1" t="s">
        <v>194</v>
      </c>
      <c r="E81" s="1" t="s">
        <v>195</v>
      </c>
      <c r="Y81" s="11"/>
      <c r="Z81" s="6"/>
    </row>
    <row r="82" spans="1:26" ht="25">
      <c r="A82" s="9">
        <f ca="1">IF(COUNTIF($AA$1:$BXX$24,82) = 0,RAND(),RAND()-1)</f>
        <v>0.57032465725921944</v>
      </c>
      <c r="B82" s="2">
        <f t="shared" ca="1" si="7"/>
        <v>39</v>
      </c>
      <c r="C82" s="1">
        <v>82</v>
      </c>
      <c r="D82" s="1" t="s">
        <v>196</v>
      </c>
      <c r="E82" s="1" t="s">
        <v>197</v>
      </c>
      <c r="Y82" s="11"/>
    </row>
    <row r="83" spans="1:26" ht="27">
      <c r="A83" s="9">
        <f ca="1">IF(COUNTIF($AA$1:$BXX$24,83) = 0,RAND(),RAND()-1)</f>
        <v>0.32367757782990447</v>
      </c>
      <c r="B83" s="2">
        <f t="shared" ca="1" si="7"/>
        <v>71</v>
      </c>
      <c r="C83" s="1">
        <v>83</v>
      </c>
      <c r="D83" s="1" t="s">
        <v>198</v>
      </c>
      <c r="E83" s="1" t="s">
        <v>199</v>
      </c>
      <c r="Y83" s="11"/>
      <c r="Z83" s="6"/>
    </row>
    <row r="84" spans="1:26" ht="25">
      <c r="A84" s="9">
        <f ca="1">IF(COUNTIF($AA$1:$BXX$24,84) = 0,RAND(),RAND()-1)</f>
        <v>0.71746389883689254</v>
      </c>
      <c r="B84" s="2">
        <f t="shared" ca="1" si="7"/>
        <v>25</v>
      </c>
      <c r="C84" s="1">
        <v>84</v>
      </c>
      <c r="D84" s="1" t="s">
        <v>200</v>
      </c>
      <c r="E84" s="1" t="s">
        <v>201</v>
      </c>
      <c r="Y84" s="11"/>
    </row>
    <row r="85" spans="1:26" ht="27">
      <c r="A85" s="9">
        <f ca="1">IF(COUNTIF($AA$1:$BXX$24,85) = 0,RAND(),RAND()-1)</f>
        <v>0.65184970134645015</v>
      </c>
      <c r="B85" s="2">
        <f t="shared" ca="1" si="7"/>
        <v>33</v>
      </c>
      <c r="C85" s="1">
        <v>85</v>
      </c>
      <c r="D85" s="1" t="s">
        <v>202</v>
      </c>
      <c r="E85" s="1" t="s">
        <v>203</v>
      </c>
      <c r="Y85" s="11"/>
      <c r="Z85" s="6"/>
    </row>
    <row r="86" spans="1:26" ht="25">
      <c r="A86" s="9">
        <f ca="1">IF(COUNTIF($AA$1:$BXX$24,86) = 0,RAND(),RAND()-1)</f>
        <v>0.40827690138994643</v>
      </c>
      <c r="B86" s="2">
        <f t="shared" ca="1" si="7"/>
        <v>60</v>
      </c>
      <c r="C86" s="1">
        <v>86</v>
      </c>
      <c r="D86" s="1" t="s">
        <v>204</v>
      </c>
      <c r="E86" s="1" t="s">
        <v>205</v>
      </c>
      <c r="Y86" s="11"/>
    </row>
    <row r="87" spans="1:26" ht="27">
      <c r="A87" s="9">
        <f ca="1">IF(COUNTIF($AA$1:$BXX$24,87) = 0,RAND(),RAND()-1)</f>
        <v>0.23536413873394735</v>
      </c>
      <c r="B87" s="2">
        <f t="shared" ca="1" si="7"/>
        <v>80</v>
      </c>
      <c r="C87" s="1">
        <v>87</v>
      </c>
      <c r="D87" s="1" t="s">
        <v>206</v>
      </c>
      <c r="E87" s="1" t="s">
        <v>207</v>
      </c>
      <c r="Y87" s="11"/>
      <c r="Z87" s="6"/>
    </row>
    <row r="88" spans="1:26" ht="25">
      <c r="A88" s="9">
        <f ca="1">IF(COUNTIF($AA$1:$BXX$24,88) = 0,RAND(),RAND()-1)</f>
        <v>0.36037740732560997</v>
      </c>
      <c r="B88" s="2">
        <f t="shared" ca="1" si="7"/>
        <v>65</v>
      </c>
      <c r="C88" s="1">
        <v>88</v>
      </c>
      <c r="D88" s="1" t="s">
        <v>208</v>
      </c>
      <c r="E88" s="1" t="s">
        <v>209</v>
      </c>
      <c r="Y88" s="11"/>
    </row>
    <row r="89" spans="1:26" ht="27">
      <c r="A89" s="9">
        <f ca="1">IF(COUNTIF($AA$1:$BXX$24,89) = 0,RAND(),RAND()-1)</f>
        <v>0.87309936104698838</v>
      </c>
      <c r="B89" s="2">
        <f t="shared" ca="1" si="7"/>
        <v>11</v>
      </c>
      <c r="C89" s="1">
        <v>89</v>
      </c>
      <c r="D89" s="1" t="s">
        <v>210</v>
      </c>
      <c r="E89" s="1" t="s">
        <v>211</v>
      </c>
      <c r="Y89" s="11"/>
      <c r="Z89" s="6"/>
    </row>
    <row r="90" spans="1:26" ht="25">
      <c r="A90" s="9">
        <f ca="1">IF(COUNTIF($AA$1:$BXX$24,90) = 0,RAND(),RAND()-1)</f>
        <v>0.51025951778237244</v>
      </c>
      <c r="B90" s="2">
        <f t="shared" ca="1" si="7"/>
        <v>46</v>
      </c>
      <c r="C90" s="1">
        <v>90</v>
      </c>
      <c r="D90" s="1" t="s">
        <v>212</v>
      </c>
      <c r="E90" s="1" t="s">
        <v>213</v>
      </c>
      <c r="Y90" s="11"/>
    </row>
    <row r="91" spans="1:26" ht="27">
      <c r="A91" s="9">
        <f ca="1">IF(COUNTIF($AA$1:$BXX$24,91) = 0,RAND(),RAND()-1)</f>
        <v>0.20528590220919363</v>
      </c>
      <c r="B91" s="2">
        <f t="shared" ca="1" si="7"/>
        <v>81</v>
      </c>
      <c r="C91" s="1">
        <v>91</v>
      </c>
      <c r="D91" s="1" t="s">
        <v>214</v>
      </c>
      <c r="E91" s="1" t="s">
        <v>215</v>
      </c>
      <c r="Y91" s="11"/>
      <c r="Z91" s="6"/>
    </row>
    <row r="92" spans="1:26" ht="25">
      <c r="A92" s="9">
        <f ca="1">IF(COUNTIF($AA$1:$BXX$24,92) = 0,RAND(),RAND()-1)</f>
        <v>0.53216858011937673</v>
      </c>
      <c r="B92" s="2">
        <f t="shared" ca="1" si="7"/>
        <v>43</v>
      </c>
      <c r="C92" s="1">
        <v>92</v>
      </c>
      <c r="D92" s="1" t="s">
        <v>216</v>
      </c>
      <c r="E92" s="1" t="s">
        <v>217</v>
      </c>
      <c r="Y92" s="11"/>
    </row>
    <row r="93" spans="1:26" ht="27">
      <c r="A93" s="9">
        <f ca="1">IF(COUNTIF($AA$1:$BXX$24,93) = 0,RAND(),RAND()-1)</f>
        <v>0.62732118008703752</v>
      </c>
      <c r="B93" s="2">
        <f t="shared" ca="1" si="7"/>
        <v>35</v>
      </c>
      <c r="C93" s="1">
        <v>93</v>
      </c>
      <c r="D93" s="1" t="s">
        <v>218</v>
      </c>
      <c r="E93" s="1" t="s">
        <v>219</v>
      </c>
      <c r="Y93" s="11"/>
      <c r="Z93" s="6"/>
    </row>
    <row r="94" spans="1:26" ht="25">
      <c r="A94" s="9">
        <f ca="1">IF(COUNTIF($AA$1:$BXX$24,94) = 0,RAND(),RAND()-1)</f>
        <v>0.26780747693187601</v>
      </c>
      <c r="B94" s="2">
        <f t="shared" ca="1" si="7"/>
        <v>76</v>
      </c>
      <c r="C94" s="1">
        <v>94</v>
      </c>
      <c r="D94" s="1" t="s">
        <v>220</v>
      </c>
      <c r="E94" s="1" t="s">
        <v>221</v>
      </c>
      <c r="Y94" s="11"/>
    </row>
    <row r="95" spans="1:26" ht="27">
      <c r="A95" s="9">
        <f ca="1">IF(COUNTIF($AA$1:$BXX$24,95) = 0,RAND(),RAND()-1)</f>
        <v>3.3762883833742929E-2</v>
      </c>
      <c r="B95" s="2">
        <f t="shared" ca="1" si="7"/>
        <v>98</v>
      </c>
      <c r="C95" s="1">
        <v>95</v>
      </c>
      <c r="D95" s="1" t="s">
        <v>222</v>
      </c>
      <c r="E95" s="1" t="s">
        <v>223</v>
      </c>
      <c r="Y95" s="11"/>
      <c r="Z95" s="6"/>
    </row>
    <row r="96" spans="1:26" ht="25">
      <c r="A96" s="9">
        <f ca="1">IF(COUNTIF($AA$1:$BXX$24,96) = 0,RAND(),RAND()-1)</f>
        <v>0.24909410254676856</v>
      </c>
      <c r="B96" s="2">
        <f t="shared" ca="1" si="7"/>
        <v>78</v>
      </c>
      <c r="C96" s="1">
        <v>96</v>
      </c>
      <c r="D96" s="1" t="s">
        <v>224</v>
      </c>
      <c r="E96" s="1" t="s">
        <v>225</v>
      </c>
      <c r="Y96" s="11"/>
    </row>
    <row r="97" spans="1:26" ht="27">
      <c r="A97" s="9">
        <f ca="1">IF(COUNTIF($AA$1:$BXX$24,97) = 0,RAND(),RAND()-1)</f>
        <v>0.39271596216013083</v>
      </c>
      <c r="B97" s="2">
        <f t="shared" ca="1" si="7"/>
        <v>61</v>
      </c>
      <c r="C97" s="1">
        <v>97</v>
      </c>
      <c r="D97" s="1" t="s">
        <v>226</v>
      </c>
      <c r="E97" s="1" t="s">
        <v>227</v>
      </c>
      <c r="Y97" s="11"/>
      <c r="Z97" s="6"/>
    </row>
    <row r="98" spans="1:26" ht="25">
      <c r="A98" s="9">
        <f ca="1">IF(COUNTIF($AA$1:$BXX$24,98) = 0,RAND(),RAND()-1)</f>
        <v>0.18763239720826996</v>
      </c>
      <c r="B98" s="2">
        <f t="shared" ca="1" si="7"/>
        <v>83</v>
      </c>
      <c r="C98" s="1">
        <v>98</v>
      </c>
      <c r="D98" s="1" t="s">
        <v>228</v>
      </c>
      <c r="E98" s="1" t="s">
        <v>151</v>
      </c>
      <c r="Y98" s="11"/>
    </row>
    <row r="99" spans="1:26" ht="27">
      <c r="A99" s="9">
        <f ca="1">IF(COUNTIF($AA$1:$BXX$24,99) = 0,RAND(),RAND()-1)</f>
        <v>0.97392659607459553</v>
      </c>
      <c r="B99" s="2">
        <f t="shared" ca="1" si="7"/>
        <v>2</v>
      </c>
      <c r="C99" s="1">
        <v>99</v>
      </c>
      <c r="D99" s="1" t="s">
        <v>229</v>
      </c>
      <c r="E99" s="1" t="s">
        <v>230</v>
      </c>
      <c r="Y99" s="11"/>
      <c r="Z99" s="6"/>
    </row>
    <row r="100" spans="1:26" ht="25">
      <c r="A100" s="9">
        <f ca="1">IF(COUNTIF($AA$1:$BXX$24,100) = 0,RAND(),RAND()-1)</f>
        <v>0.62263390157363263</v>
      </c>
      <c r="B100" s="2">
        <f t="shared" ca="1" si="7"/>
        <v>36</v>
      </c>
      <c r="C100" s="1">
        <v>100</v>
      </c>
      <c r="D100" s="1" t="s">
        <v>231</v>
      </c>
      <c r="E100" s="1" t="s">
        <v>232</v>
      </c>
      <c r="Y100" s="11"/>
    </row>
    <row r="101" spans="1:26" ht="27">
      <c r="A101" s="9">
        <f ca="1">IF(COUNTIF($AA$1:$BXX$24,101) = 0,RAND(),RAND()-1)</f>
        <v>0.79570615022596569</v>
      </c>
      <c r="B101" s="2" t="e">
        <f t="shared" ca="1" si="7"/>
        <v>#N/A</v>
      </c>
      <c r="C101" s="1">
        <v>101</v>
      </c>
      <c r="D101" s="1" t="s">
        <v>233</v>
      </c>
      <c r="E101" s="1" t="s">
        <v>234</v>
      </c>
      <c r="Y101" s="11"/>
      <c r="Z101" s="6"/>
    </row>
    <row r="102" spans="1:26" ht="25">
      <c r="A102" s="9">
        <f ca="1">IF(COUNTIF($AA$1:$BXX$24,102) = 0,RAND(),RAND()-1)</f>
        <v>0.83371303205504255</v>
      </c>
      <c r="B102" s="2" t="e">
        <f t="shared" ca="1" si="7"/>
        <v>#N/A</v>
      </c>
      <c r="C102" s="1">
        <v>102</v>
      </c>
      <c r="D102" s="1" t="s">
        <v>235</v>
      </c>
      <c r="E102" s="1" t="s">
        <v>236</v>
      </c>
      <c r="Y102" s="11"/>
    </row>
    <row r="103" spans="1:26" ht="27">
      <c r="A103" s="9">
        <f ca="1">IF(COUNTIF($AA$1:$BXX$24,103) = 0,RAND(),RAND()-1)</f>
        <v>0.66336543396675951</v>
      </c>
      <c r="B103" s="2" t="e">
        <f t="shared" ca="1" si="7"/>
        <v>#N/A</v>
      </c>
      <c r="C103" s="1">
        <v>103</v>
      </c>
      <c r="D103" s="1" t="s">
        <v>237</v>
      </c>
      <c r="E103" s="1" t="s">
        <v>238</v>
      </c>
      <c r="Y103" s="11"/>
      <c r="Z103" s="6"/>
    </row>
    <row r="104" spans="1:26" ht="25">
      <c r="A104" s="9">
        <f ca="1">IF(COUNTIF($AA$1:$BXX$24,104) = 0,RAND(),RAND()-1)</f>
        <v>0.36569085756795938</v>
      </c>
      <c r="B104" s="2" t="e">
        <f t="shared" ca="1" si="7"/>
        <v>#N/A</v>
      </c>
      <c r="C104" s="1">
        <v>104</v>
      </c>
      <c r="D104" s="1" t="s">
        <v>239</v>
      </c>
      <c r="E104" s="1" t="s">
        <v>240</v>
      </c>
      <c r="Y104" s="11"/>
    </row>
    <row r="105" spans="1:26" ht="27">
      <c r="A105" s="9">
        <f ca="1">IF(COUNTIF($AA$1:$BXX$24,105) = 0,RAND(),RAND()-1)</f>
        <v>0.88941192158860305</v>
      </c>
      <c r="B105" s="2" t="e">
        <f t="shared" ca="1" si="7"/>
        <v>#N/A</v>
      </c>
      <c r="C105" s="1">
        <v>105</v>
      </c>
      <c r="D105" s="1" t="s">
        <v>241</v>
      </c>
      <c r="E105" s="1" t="s">
        <v>242</v>
      </c>
      <c r="Y105" s="11"/>
      <c r="Z105" s="6"/>
    </row>
    <row r="106" spans="1:26" ht="25">
      <c r="A106" s="2">
        <f ca="1">IF(COUNTIF($AA$1:$BXX$24,106) = 0,RAND(),RAND()-1)</f>
        <v>0.52022294450728013</v>
      </c>
      <c r="B106" s="2" t="e">
        <f t="shared" ca="1" si="7"/>
        <v>#N/A</v>
      </c>
      <c r="C106" s="1">
        <v>106</v>
      </c>
      <c r="D106" s="1" t="s">
        <v>243</v>
      </c>
      <c r="E106" s="1" t="s">
        <v>244</v>
      </c>
      <c r="Y106" s="11"/>
    </row>
    <row r="107" spans="1:26" ht="27">
      <c r="A107" s="2">
        <f ca="1">IF(COUNTIF($AA$1:$BXX$24,107) = 0,RAND(),RAND()-1)</f>
        <v>0.35300493326569748</v>
      </c>
      <c r="B107" s="2" t="e">
        <f t="shared" ca="1" si="7"/>
        <v>#N/A</v>
      </c>
      <c r="C107" s="1">
        <v>107</v>
      </c>
      <c r="D107" s="1" t="s">
        <v>245</v>
      </c>
      <c r="E107" s="1" t="s">
        <v>246</v>
      </c>
      <c r="Y107" s="11"/>
      <c r="Z107" s="6"/>
    </row>
    <row r="108" spans="1:26" ht="25">
      <c r="A108" s="2">
        <f ca="1">IF(COUNTIF($AA$1:$BXX$24,108) = 0,RAND(),RAND()-1)</f>
        <v>0.15121521215945399</v>
      </c>
      <c r="B108" s="2" t="e">
        <f t="shared" ca="1" si="7"/>
        <v>#N/A</v>
      </c>
      <c r="C108" s="1">
        <v>108</v>
      </c>
      <c r="D108" s="1" t="s">
        <v>247</v>
      </c>
      <c r="E108" s="1" t="s">
        <v>248</v>
      </c>
      <c r="Y108" s="11"/>
    </row>
    <row r="109" spans="1:26" ht="27">
      <c r="A109" s="2">
        <f ca="1">IF(COUNTIF($AA$1:$BXX$24,109) = 0,RAND(),RAND()-1)</f>
        <v>4.7614640028183608E-2</v>
      </c>
      <c r="B109" s="2" t="e">
        <f t="shared" ca="1" si="7"/>
        <v>#N/A</v>
      </c>
      <c r="C109" s="1">
        <v>109</v>
      </c>
      <c r="D109" s="1" t="s">
        <v>249</v>
      </c>
      <c r="E109" s="1" t="s">
        <v>250</v>
      </c>
      <c r="Y109" s="11"/>
      <c r="Z109" s="6"/>
    </row>
    <row r="110" spans="1:26" ht="25">
      <c r="A110" s="2">
        <f ca="1">IF(COUNTIF($AA$1:$BXX$24,110) = 0,RAND(),RAND()-1)</f>
        <v>0.93144059878686691</v>
      </c>
      <c r="B110" s="2" t="e">
        <f t="shared" ca="1" si="7"/>
        <v>#N/A</v>
      </c>
      <c r="C110" s="1">
        <v>110</v>
      </c>
      <c r="D110" s="1" t="s">
        <v>251</v>
      </c>
      <c r="E110" s="1" t="s">
        <v>252</v>
      </c>
      <c r="Y110" s="11"/>
    </row>
    <row r="111" spans="1:26" ht="27">
      <c r="A111" s="2">
        <f ca="1">IF(COUNTIF($AA$1:$BXX$24,111) = 0,RAND(),RAND()-1)</f>
        <v>0.84544793353268555</v>
      </c>
      <c r="B111" s="2" t="e">
        <f t="shared" ca="1" si="7"/>
        <v>#N/A</v>
      </c>
      <c r="C111" s="1">
        <v>111</v>
      </c>
      <c r="D111" s="1" t="s">
        <v>253</v>
      </c>
      <c r="E111" s="1" t="s">
        <v>254</v>
      </c>
      <c r="Y111" s="11"/>
      <c r="Z111" s="6"/>
    </row>
    <row r="112" spans="1:26" ht="25">
      <c r="A112" s="2">
        <f ca="1">IF(COUNTIF($AA$1:$BXX$24,112) = 0,RAND(),RAND()-1)</f>
        <v>0.91195641057707588</v>
      </c>
      <c r="B112" s="2" t="e">
        <f t="shared" ca="1" si="7"/>
        <v>#N/A</v>
      </c>
      <c r="C112" s="1">
        <v>112</v>
      </c>
      <c r="D112" s="1" t="s">
        <v>255</v>
      </c>
      <c r="E112" s="1" t="s">
        <v>256</v>
      </c>
      <c r="Y112" s="11"/>
    </row>
    <row r="113" spans="1:26" ht="27">
      <c r="A113" s="2">
        <f ca="1">IF(COUNTIF($AA$1:$BXX$24,113) = 0,RAND(),RAND()-1)</f>
        <v>0.84806312811350371</v>
      </c>
      <c r="B113" s="2" t="e">
        <f t="shared" ca="1" si="7"/>
        <v>#N/A</v>
      </c>
      <c r="C113" s="1">
        <v>113</v>
      </c>
      <c r="D113" s="1" t="s">
        <v>257</v>
      </c>
      <c r="E113" s="1" t="s">
        <v>258</v>
      </c>
      <c r="Y113" s="11"/>
      <c r="Z113" s="6"/>
    </row>
    <row r="114" spans="1:26" ht="25">
      <c r="A114" s="2">
        <f ca="1">IF(COUNTIF($AA$1:$BXX$24,114) = 0,RAND(),RAND()-1)</f>
        <v>0.87074434345341634</v>
      </c>
      <c r="B114" s="2" t="e">
        <f t="shared" ca="1" si="7"/>
        <v>#N/A</v>
      </c>
      <c r="C114" s="1">
        <v>114</v>
      </c>
      <c r="D114" s="1" t="s">
        <v>259</v>
      </c>
      <c r="E114" s="1" t="s">
        <v>260</v>
      </c>
      <c r="Y114" s="11"/>
    </row>
    <row r="115" spans="1:26" ht="27">
      <c r="A115" s="2">
        <f ca="1">IF(COUNTIF($AA$1:$BXX$24,115) = 0,RAND(),RAND()-1)</f>
        <v>0.73415271465116549</v>
      </c>
      <c r="B115" s="2" t="e">
        <f t="shared" ca="1" si="7"/>
        <v>#N/A</v>
      </c>
      <c r="C115" s="1">
        <v>115</v>
      </c>
      <c r="D115" s="1" t="s">
        <v>261</v>
      </c>
      <c r="E115" s="1" t="s">
        <v>262</v>
      </c>
      <c r="Y115" s="11"/>
      <c r="Z115" s="6"/>
    </row>
    <row r="116" spans="1:26" ht="27">
      <c r="A116" s="2">
        <f ca="1">IF(COUNTIF($AA$1:$BXX$24,116) = 0,RAND(),RAND()-1)</f>
        <v>0.37241022525138234</v>
      </c>
      <c r="B116" s="2" t="e">
        <f t="shared" ca="1" si="7"/>
        <v>#N/A</v>
      </c>
      <c r="C116" s="1">
        <v>116</v>
      </c>
      <c r="D116" s="1" t="s">
        <v>263</v>
      </c>
      <c r="E116" s="1" t="s">
        <v>264</v>
      </c>
      <c r="V116" s="6"/>
      <c r="Y116" s="11"/>
    </row>
    <row r="117" spans="1:26" ht="27">
      <c r="A117" s="2">
        <f ca="1">IF(COUNTIF($AA$1:$BXX$24,117) = 0,RAND(),RAND()-1)</f>
        <v>5.2039941516638155E-2</v>
      </c>
      <c r="B117" s="2" t="e">
        <f t="shared" ca="1" si="7"/>
        <v>#N/A</v>
      </c>
      <c r="C117" s="1">
        <v>117</v>
      </c>
      <c r="D117" s="1" t="s">
        <v>265</v>
      </c>
      <c r="E117" s="1" t="s">
        <v>266</v>
      </c>
      <c r="V117" s="6"/>
      <c r="Y117" s="11"/>
      <c r="Z117" s="6"/>
    </row>
    <row r="118" spans="1:26" ht="25">
      <c r="A118" s="2">
        <f ca="1">IF(COUNTIF($AA$1:$BXX$24,118) = 0,RAND(),RAND()-1)</f>
        <v>0.58784382569514781</v>
      </c>
      <c r="B118" s="2" t="e">
        <f t="shared" ca="1" si="7"/>
        <v>#N/A</v>
      </c>
      <c r="C118" s="1">
        <v>118</v>
      </c>
      <c r="D118" s="1" t="s">
        <v>267</v>
      </c>
      <c r="E118" s="1" t="s">
        <v>268</v>
      </c>
      <c r="Y118" s="11"/>
    </row>
    <row r="119" spans="1:26" ht="27">
      <c r="A119" s="2">
        <f ca="1">IF(COUNTIF($AA$1:$BXX$24,119) = 0,RAND(),RAND()-1)</f>
        <v>0.67949450149631974</v>
      </c>
      <c r="B119" s="2" t="e">
        <f t="shared" ca="1" si="7"/>
        <v>#N/A</v>
      </c>
      <c r="C119" s="1">
        <v>119</v>
      </c>
      <c r="D119" s="1" t="s">
        <v>269</v>
      </c>
      <c r="E119" s="1" t="s">
        <v>270</v>
      </c>
      <c r="Y119" s="11"/>
      <c r="Z119" s="6"/>
    </row>
    <row r="120" spans="1:26" ht="25">
      <c r="A120" s="2">
        <f ca="1">IF(COUNTIF($AA$1:$BXX$24,120) = 0,RAND(),RAND()-1)</f>
        <v>0.24899493307765341</v>
      </c>
      <c r="B120" s="2" t="e">
        <f t="shared" ca="1" si="7"/>
        <v>#N/A</v>
      </c>
      <c r="C120" s="1">
        <v>120</v>
      </c>
      <c r="D120" s="1" t="s">
        <v>271</v>
      </c>
      <c r="E120" s="1" t="s">
        <v>272</v>
      </c>
      <c r="Y120" s="11"/>
    </row>
    <row r="121" spans="1:26" ht="27">
      <c r="A121" s="2">
        <f ca="1">IF(COUNTIF($AA$1:$BXX$24,121) = 0,RAND(),RAND()-1)</f>
        <v>0.33186975131654717</v>
      </c>
      <c r="B121" s="2" t="e">
        <f t="shared" ca="1" si="7"/>
        <v>#N/A</v>
      </c>
      <c r="C121" s="1">
        <v>121</v>
      </c>
      <c r="D121" s="1" t="s">
        <v>273</v>
      </c>
      <c r="E121" s="1" t="s">
        <v>274</v>
      </c>
      <c r="Y121" s="11"/>
      <c r="Z121" s="6"/>
    </row>
    <row r="122" spans="1:26" ht="25">
      <c r="A122" s="2">
        <f ca="1">IF(COUNTIF($AA$1:$BXX$24,122) = 0,RAND(),RAND()-1)</f>
        <v>5.7940610004133086E-2</v>
      </c>
      <c r="B122" s="2" t="e">
        <f t="shared" ca="1" si="7"/>
        <v>#N/A</v>
      </c>
      <c r="C122" s="1">
        <v>122</v>
      </c>
      <c r="D122" s="1" t="s">
        <v>275</v>
      </c>
      <c r="E122" s="1" t="s">
        <v>276</v>
      </c>
      <c r="Y122" s="11"/>
    </row>
    <row r="123" spans="1:26" ht="27">
      <c r="A123" s="2">
        <f ca="1">IF(COUNTIF($AA$1:$BXX$24,123) = 0,RAND(),RAND()-1)</f>
        <v>0.78888873472023602</v>
      </c>
      <c r="B123" s="2" t="e">
        <f t="shared" ca="1" si="7"/>
        <v>#N/A</v>
      </c>
      <c r="C123" s="1">
        <v>123</v>
      </c>
      <c r="D123" s="1" t="s">
        <v>277</v>
      </c>
      <c r="E123" s="1" t="s">
        <v>278</v>
      </c>
      <c r="Y123" s="11"/>
      <c r="Z123" s="6"/>
    </row>
    <row r="124" spans="1:26" ht="25">
      <c r="A124" s="2">
        <f ca="1">IF(COUNTIF($AA$1:$BXX$24,124) = 0,RAND(),RAND()-1)</f>
        <v>0.83627330123390908</v>
      </c>
      <c r="B124" s="2" t="e">
        <f t="shared" ca="1" si="7"/>
        <v>#N/A</v>
      </c>
      <c r="C124" s="1">
        <v>124</v>
      </c>
      <c r="D124" s="1" t="s">
        <v>279</v>
      </c>
      <c r="E124" s="1" t="s">
        <v>280</v>
      </c>
      <c r="Y124" s="11"/>
    </row>
    <row r="125" spans="1:26" ht="27">
      <c r="A125" s="2">
        <f ca="1">IF(COUNTIF($AA$1:$BXX$24,125) = 0,RAND(),RAND()-1)</f>
        <v>0.79506370958810402</v>
      </c>
      <c r="B125" s="2" t="e">
        <f t="shared" ca="1" si="7"/>
        <v>#N/A</v>
      </c>
      <c r="C125" s="1">
        <v>125</v>
      </c>
      <c r="D125" s="1" t="s">
        <v>281</v>
      </c>
      <c r="E125" s="1" t="s">
        <v>282</v>
      </c>
      <c r="Y125" s="11"/>
      <c r="Z125" s="6"/>
    </row>
    <row r="126" spans="1:26" ht="25">
      <c r="A126" s="2">
        <f ca="1">IF(COUNTIF($AA$1:$BXX$24,126) = 0,RAND(),RAND()-1)</f>
        <v>6.4116450743954001E-2</v>
      </c>
      <c r="B126" s="2" t="e">
        <f t="shared" ca="1" si="7"/>
        <v>#N/A</v>
      </c>
      <c r="C126" s="1">
        <v>126</v>
      </c>
      <c r="D126" s="1" t="s">
        <v>283</v>
      </c>
      <c r="E126" s="1" t="s">
        <v>284</v>
      </c>
      <c r="Y126" s="11"/>
    </row>
    <row r="127" spans="1:26" ht="27">
      <c r="A127" s="2">
        <f ca="1">IF(COUNTIF($AA$1:$BXX$24,127) = 0,RAND(),RAND()-1)</f>
        <v>0.58003009583508858</v>
      </c>
      <c r="B127" s="2" t="e">
        <f t="shared" ca="1" si="7"/>
        <v>#N/A</v>
      </c>
      <c r="C127" s="1">
        <v>127</v>
      </c>
      <c r="D127" s="1" t="s">
        <v>285</v>
      </c>
      <c r="E127" s="1" t="s">
        <v>286</v>
      </c>
      <c r="Y127" s="11"/>
      <c r="Z127" s="6"/>
    </row>
    <row r="128" spans="1:26" ht="25">
      <c r="A128" s="2">
        <f ca="1">IF(COUNTIF($AA$1:$BXX$24,128) = 0,RAND(),RAND()-1)</f>
        <v>0.35714096871733259</v>
      </c>
      <c r="B128" s="2" t="e">
        <f t="shared" ca="1" si="7"/>
        <v>#N/A</v>
      </c>
      <c r="C128" s="1">
        <v>128</v>
      </c>
      <c r="D128" s="1" t="s">
        <v>287</v>
      </c>
      <c r="E128" s="1" t="s">
        <v>288</v>
      </c>
      <c r="Y128" s="11"/>
    </row>
    <row r="129" spans="1:26" ht="27">
      <c r="A129" s="2">
        <f ca="1">IF(COUNTIF($AA$1:$BXX$24,129) = 0,RAND(),RAND()-1)</f>
        <v>0.18767183915905661</v>
      </c>
      <c r="B129" s="2" t="e">
        <f t="shared" ref="B129:B192" ca="1" si="10">RANK(A129,OFFSET($A$1,$G$1-1,0,$G$2-$G$1+1))</f>
        <v>#N/A</v>
      </c>
      <c r="C129" s="1">
        <v>129</v>
      </c>
      <c r="D129" s="1" t="s">
        <v>289</v>
      </c>
      <c r="E129" s="1" t="s">
        <v>290</v>
      </c>
      <c r="Y129" s="11"/>
      <c r="Z129" s="6"/>
    </row>
    <row r="130" spans="1:26" ht="25">
      <c r="A130" s="2">
        <f ca="1">IF(COUNTIF($AA$1:$BXX$24,130) = 0,RAND(),RAND()-1)</f>
        <v>0.5774745958296027</v>
      </c>
      <c r="B130" s="2" t="e">
        <f t="shared" ca="1" si="10"/>
        <v>#N/A</v>
      </c>
      <c r="C130" s="1">
        <v>130</v>
      </c>
      <c r="D130" s="1" t="s">
        <v>291</v>
      </c>
      <c r="E130" s="1" t="s">
        <v>205</v>
      </c>
      <c r="Y130" s="11"/>
    </row>
    <row r="131" spans="1:26" ht="27">
      <c r="A131" s="2">
        <f ca="1">IF(COUNTIF($AA$1:$BXX$24,131) = 0,RAND(),RAND()-1)</f>
        <v>0.20937644598956284</v>
      </c>
      <c r="B131" s="2" t="e">
        <f t="shared" ca="1" si="10"/>
        <v>#N/A</v>
      </c>
      <c r="C131" s="1">
        <v>131</v>
      </c>
      <c r="D131" s="1" t="s">
        <v>292</v>
      </c>
      <c r="E131" s="1" t="s">
        <v>293</v>
      </c>
      <c r="Y131" s="11"/>
      <c r="Z131" s="6"/>
    </row>
    <row r="132" spans="1:26" ht="25">
      <c r="A132" s="2">
        <f ca="1">IF(COUNTIF($AA$1:$BXX$24,132) = 0,RAND(),RAND()-1)</f>
        <v>0.9692724604536358</v>
      </c>
      <c r="B132" s="2" t="e">
        <f t="shared" ca="1" si="10"/>
        <v>#N/A</v>
      </c>
      <c r="C132" s="1">
        <v>132</v>
      </c>
      <c r="D132" s="1" t="s">
        <v>294</v>
      </c>
      <c r="E132" s="1" t="s">
        <v>295</v>
      </c>
      <c r="Y132" s="11"/>
    </row>
    <row r="133" spans="1:26" ht="27">
      <c r="A133" s="2">
        <f ca="1">IF(COUNTIF($AA$1:$BXX$24,133) = 0,RAND(),RAND()-1)</f>
        <v>3.2654878591152681E-2</v>
      </c>
      <c r="B133" s="2" t="e">
        <f t="shared" ca="1" si="10"/>
        <v>#N/A</v>
      </c>
      <c r="C133" s="1">
        <v>133</v>
      </c>
      <c r="D133" s="1" t="s">
        <v>296</v>
      </c>
      <c r="E133" s="1" t="s">
        <v>297</v>
      </c>
      <c r="Y133" s="11"/>
      <c r="Z133" s="6"/>
    </row>
    <row r="134" spans="1:26" ht="25">
      <c r="A134" s="2">
        <f ca="1">IF(COUNTIF($AA$1:$BXX$24,134) = 0,RAND(),RAND()-1)</f>
        <v>0.60101432068315885</v>
      </c>
      <c r="B134" s="2" t="e">
        <f t="shared" ca="1" si="10"/>
        <v>#N/A</v>
      </c>
      <c r="C134" s="1">
        <v>134</v>
      </c>
      <c r="D134" s="1" t="s">
        <v>298</v>
      </c>
      <c r="E134" s="1" t="s">
        <v>299</v>
      </c>
      <c r="Y134" s="11"/>
    </row>
    <row r="135" spans="1:26" ht="27">
      <c r="A135" s="2">
        <f ca="1">IF(COUNTIF($AA$1:$BXX$24,135) = 0,RAND(),RAND()-1)</f>
        <v>0.24779401890409736</v>
      </c>
      <c r="B135" s="2" t="e">
        <f t="shared" ca="1" si="10"/>
        <v>#N/A</v>
      </c>
      <c r="C135" s="1">
        <v>135</v>
      </c>
      <c r="D135" s="1" t="s">
        <v>300</v>
      </c>
      <c r="E135" s="1" t="s">
        <v>301</v>
      </c>
      <c r="Y135" s="11"/>
      <c r="Z135" s="6"/>
    </row>
    <row r="136" spans="1:26" ht="25">
      <c r="A136" s="2">
        <f ca="1">IF(COUNTIF($AA$1:$BXX$24,136) = 0,RAND(),RAND()-1)</f>
        <v>0.30227696524563574</v>
      </c>
      <c r="B136" s="2" t="e">
        <f t="shared" ca="1" si="10"/>
        <v>#N/A</v>
      </c>
      <c r="C136" s="1">
        <v>136</v>
      </c>
      <c r="D136" s="1" t="s">
        <v>302</v>
      </c>
      <c r="E136" s="1" t="s">
        <v>303</v>
      </c>
      <c r="Y136" s="11"/>
    </row>
    <row r="137" spans="1:26" ht="27">
      <c r="A137" s="2">
        <f ca="1">IF(COUNTIF($AA$1:$BXX$24,137) = 0,RAND(),RAND()-1)</f>
        <v>0.75082559532766913</v>
      </c>
      <c r="B137" s="2" t="e">
        <f t="shared" ca="1" si="10"/>
        <v>#N/A</v>
      </c>
      <c r="C137" s="1">
        <v>137</v>
      </c>
      <c r="D137" s="1" t="s">
        <v>304</v>
      </c>
      <c r="E137" s="1" t="s">
        <v>305</v>
      </c>
      <c r="Y137" s="11"/>
      <c r="Z137" s="6"/>
    </row>
    <row r="138" spans="1:26" ht="25">
      <c r="A138" s="2">
        <f ca="1">IF(COUNTIF($AA$1:$BXX$24,138) = 0,RAND(),RAND()-1)</f>
        <v>0.35636361502841662</v>
      </c>
      <c r="B138" s="2" t="e">
        <f t="shared" ca="1" si="10"/>
        <v>#N/A</v>
      </c>
      <c r="C138" s="1">
        <v>138</v>
      </c>
      <c r="D138" s="1" t="s">
        <v>306</v>
      </c>
      <c r="E138" s="1" t="s">
        <v>307</v>
      </c>
      <c r="Y138" s="11"/>
    </row>
    <row r="139" spans="1:26" ht="27">
      <c r="A139" s="2">
        <f ca="1">IF(COUNTIF($AA$1:$BXX$24,139) = 0,RAND(),RAND()-1)</f>
        <v>0.97227422972244659</v>
      </c>
      <c r="B139" s="2" t="e">
        <f t="shared" ca="1" si="10"/>
        <v>#N/A</v>
      </c>
      <c r="C139" s="1">
        <v>139</v>
      </c>
      <c r="D139" s="1" t="s">
        <v>308</v>
      </c>
      <c r="E139" s="1" t="s">
        <v>309</v>
      </c>
      <c r="Y139" s="11"/>
      <c r="Z139" s="6"/>
    </row>
    <row r="140" spans="1:26" ht="25">
      <c r="A140" s="2">
        <f ca="1">IF(COUNTIF($AA$1:$BXX$24,140) = 0,RAND(),RAND()-1)</f>
        <v>0.79426215185544802</v>
      </c>
      <c r="B140" s="2" t="e">
        <f t="shared" ca="1" si="10"/>
        <v>#N/A</v>
      </c>
      <c r="C140" s="1">
        <v>140</v>
      </c>
      <c r="D140" s="1" t="s">
        <v>310</v>
      </c>
      <c r="E140" s="1" t="s">
        <v>311</v>
      </c>
      <c r="Y140" s="11"/>
    </row>
    <row r="141" spans="1:26" ht="27">
      <c r="A141" s="2">
        <f ca="1">IF(COUNTIF($AA$1:$BXX$24,141) = 0,RAND(),RAND()-1)</f>
        <v>0.94615167684789891</v>
      </c>
      <c r="B141" s="2" t="e">
        <f t="shared" ca="1" si="10"/>
        <v>#N/A</v>
      </c>
      <c r="C141" s="1">
        <v>141</v>
      </c>
      <c r="D141" s="1" t="s">
        <v>312</v>
      </c>
      <c r="E141" s="1" t="s">
        <v>313</v>
      </c>
      <c r="Y141" s="11"/>
      <c r="Z141" s="6"/>
    </row>
    <row r="142" spans="1:26" ht="25">
      <c r="A142" s="2">
        <f ca="1">IF(COUNTIF($AA$1:$BXX$24,142) = 0,RAND(),RAND()-1)</f>
        <v>0.15679130091060223</v>
      </c>
      <c r="B142" s="2" t="e">
        <f t="shared" ca="1" si="10"/>
        <v>#N/A</v>
      </c>
      <c r="C142" s="1">
        <v>142</v>
      </c>
      <c r="D142" s="1" t="s">
        <v>314</v>
      </c>
      <c r="E142" s="1" t="s">
        <v>315</v>
      </c>
    </row>
    <row r="143" spans="1:26" ht="27">
      <c r="A143" s="2">
        <f ca="1">IF(COUNTIF($AA$1:$BXX$24,143) = 0,RAND(),RAND()-1)</f>
        <v>0.26559573486554833</v>
      </c>
      <c r="B143" s="2" t="e">
        <f t="shared" ca="1" si="10"/>
        <v>#N/A</v>
      </c>
      <c r="C143" s="1">
        <v>143</v>
      </c>
      <c r="D143" s="1" t="s">
        <v>316</v>
      </c>
      <c r="E143" s="1" t="s">
        <v>317</v>
      </c>
      <c r="Z143" s="6"/>
    </row>
    <row r="144" spans="1:26" ht="25">
      <c r="A144" s="2">
        <f ca="1">IF(COUNTIF($AA$1:$BXX$24,144) = 0,RAND(),RAND()-1)</f>
        <v>0.22683654898770456</v>
      </c>
      <c r="B144" s="2" t="e">
        <f t="shared" ca="1" si="10"/>
        <v>#N/A</v>
      </c>
      <c r="C144" s="1">
        <v>144</v>
      </c>
      <c r="D144" s="1" t="s">
        <v>318</v>
      </c>
      <c r="E144" s="1" t="s">
        <v>319</v>
      </c>
    </row>
    <row r="145" spans="1:26" ht="27">
      <c r="A145" s="2">
        <f ca="1">IF(COUNTIF($AA$1:$BXX$24,145) = 0,RAND(),RAND()-1)</f>
        <v>5.3683464500949296E-2</v>
      </c>
      <c r="B145" s="2" t="e">
        <f t="shared" ca="1" si="10"/>
        <v>#N/A</v>
      </c>
      <c r="C145" s="1">
        <v>145</v>
      </c>
      <c r="D145" s="1" t="s">
        <v>320</v>
      </c>
      <c r="E145" s="1" t="s">
        <v>321</v>
      </c>
      <c r="Z145" s="6"/>
    </row>
    <row r="146" spans="1:26" ht="25">
      <c r="A146" s="2">
        <f ca="1">IF(COUNTIF($AA$1:$BXX$24,146) = 0,RAND(),RAND()-1)</f>
        <v>2.4110775856627131E-2</v>
      </c>
      <c r="B146" s="2" t="e">
        <f t="shared" ca="1" si="10"/>
        <v>#N/A</v>
      </c>
      <c r="C146" s="1">
        <v>146</v>
      </c>
      <c r="D146" s="1" t="s">
        <v>322</v>
      </c>
      <c r="E146" s="1" t="s">
        <v>323</v>
      </c>
    </row>
    <row r="147" spans="1:26" ht="27">
      <c r="A147" s="2">
        <f ca="1">IF(COUNTIF($AA$1:$BXX$24,147) = 0,RAND(),RAND()-1)</f>
        <v>0.14208581360809991</v>
      </c>
      <c r="B147" s="2" t="e">
        <f t="shared" ca="1" si="10"/>
        <v>#N/A</v>
      </c>
      <c r="C147" s="1">
        <v>147</v>
      </c>
      <c r="D147" s="1" t="s">
        <v>324</v>
      </c>
      <c r="E147" s="1" t="s">
        <v>325</v>
      </c>
      <c r="Z147" s="6"/>
    </row>
    <row r="148" spans="1:26" ht="25">
      <c r="A148" s="2">
        <f ca="1">IF(COUNTIF($AA$1:$BXX$24,148) = 0,RAND(),RAND()-1)</f>
        <v>0.96654488500176716</v>
      </c>
      <c r="B148" s="2" t="e">
        <f t="shared" ca="1" si="10"/>
        <v>#N/A</v>
      </c>
      <c r="C148" s="1">
        <v>148</v>
      </c>
      <c r="D148" s="1" t="s">
        <v>326</v>
      </c>
      <c r="E148" s="1" t="s">
        <v>327</v>
      </c>
    </row>
    <row r="149" spans="1:26" ht="27">
      <c r="A149" s="2">
        <f ca="1">IF(COUNTIF($AA$1:$BXX$24,149) = 0,RAND(),RAND()-1)</f>
        <v>0.8259708609716262</v>
      </c>
      <c r="B149" s="2" t="e">
        <f t="shared" ca="1" si="10"/>
        <v>#N/A</v>
      </c>
      <c r="C149" s="1">
        <v>149</v>
      </c>
      <c r="D149" s="1" t="s">
        <v>328</v>
      </c>
      <c r="E149" s="1" t="s">
        <v>329</v>
      </c>
      <c r="Z149" s="6"/>
    </row>
    <row r="150" spans="1:26" ht="25">
      <c r="A150" s="2">
        <f ca="1">IF(COUNTIF($AA$1:$BXX$24,150) = 0,RAND(),RAND()-1)</f>
        <v>0.14028151414533108</v>
      </c>
      <c r="B150" s="2" t="e">
        <f t="shared" ca="1" si="10"/>
        <v>#N/A</v>
      </c>
      <c r="C150" s="1">
        <v>150</v>
      </c>
      <c r="D150" s="1" t="s">
        <v>330</v>
      </c>
      <c r="E150" s="1" t="s">
        <v>331</v>
      </c>
    </row>
    <row r="151" spans="1:26" ht="27">
      <c r="A151" s="2">
        <f ca="1">IF(COUNTIF($AA$1:$BXX$24,151) = 0,RAND(),RAND()-1)</f>
        <v>1.1847960911898214E-2</v>
      </c>
      <c r="B151" s="2" t="e">
        <f t="shared" ca="1" si="10"/>
        <v>#N/A</v>
      </c>
      <c r="C151" s="1">
        <v>151</v>
      </c>
      <c r="D151" s="1" t="s">
        <v>332</v>
      </c>
      <c r="E151" s="1" t="s">
        <v>333</v>
      </c>
      <c r="Z151" s="6"/>
    </row>
    <row r="152" spans="1:26" ht="25">
      <c r="A152" s="2">
        <f ca="1">IF(COUNTIF($AA$1:$BXX$24,152) = 0,RAND(),RAND()-1)</f>
        <v>0.88085638376532127</v>
      </c>
      <c r="B152" s="2" t="e">
        <f t="shared" ca="1" si="10"/>
        <v>#N/A</v>
      </c>
      <c r="C152" s="1">
        <v>152</v>
      </c>
      <c r="D152" s="1" t="s">
        <v>334</v>
      </c>
      <c r="E152" s="1" t="s">
        <v>335</v>
      </c>
    </row>
    <row r="153" spans="1:26" ht="27">
      <c r="A153" s="2">
        <f ca="1">IF(COUNTIF($AA$1:$BXX$24,153) = 0,RAND(),RAND()-1)</f>
        <v>0.25815926399641431</v>
      </c>
      <c r="B153" s="2" t="e">
        <f t="shared" ca="1" si="10"/>
        <v>#N/A</v>
      </c>
      <c r="C153" s="1">
        <v>153</v>
      </c>
      <c r="D153" s="1" t="s">
        <v>336</v>
      </c>
      <c r="E153" s="1" t="s">
        <v>337</v>
      </c>
      <c r="Z153" s="6"/>
    </row>
    <row r="154" spans="1:26" ht="25">
      <c r="A154" s="2">
        <f ca="1">IF(COUNTIF($AA$1:$BXX$24,154) = 0,RAND(),RAND()-1)</f>
        <v>0.55500835984212482</v>
      </c>
      <c r="B154" s="2" t="e">
        <f t="shared" ca="1" si="10"/>
        <v>#N/A</v>
      </c>
      <c r="C154" s="1">
        <v>154</v>
      </c>
      <c r="D154" s="1" t="s">
        <v>338</v>
      </c>
      <c r="E154" s="1" t="s">
        <v>339</v>
      </c>
    </row>
    <row r="155" spans="1:26" ht="27">
      <c r="A155" s="2">
        <f ca="1">IF(COUNTIF($AA$1:$BXX$24,155) = 0,RAND(),RAND()-1)</f>
        <v>0.34797837998464987</v>
      </c>
      <c r="B155" s="2" t="e">
        <f t="shared" ca="1" si="10"/>
        <v>#N/A</v>
      </c>
      <c r="C155" s="1">
        <v>155</v>
      </c>
      <c r="D155" s="1" t="s">
        <v>340</v>
      </c>
      <c r="E155" s="1" t="s">
        <v>341</v>
      </c>
      <c r="Z155" s="6"/>
    </row>
    <row r="156" spans="1:26" ht="25">
      <c r="A156" s="2">
        <f ca="1">IF(COUNTIF($AA$1:$BXX$24,156) = 0,RAND(),RAND()-1)</f>
        <v>0.26645008963680039</v>
      </c>
      <c r="B156" s="2" t="e">
        <f t="shared" ca="1" si="10"/>
        <v>#N/A</v>
      </c>
      <c r="C156" s="1">
        <v>156</v>
      </c>
      <c r="D156" s="1" t="s">
        <v>342</v>
      </c>
      <c r="E156" s="1" t="s">
        <v>343</v>
      </c>
    </row>
    <row r="157" spans="1:26" ht="27">
      <c r="A157" s="2">
        <f ca="1">IF(COUNTIF($AA$1:$BXX$24,157) = 0,RAND(),RAND()-1)</f>
        <v>0.67118776412891146</v>
      </c>
      <c r="B157" s="2" t="e">
        <f t="shared" ca="1" si="10"/>
        <v>#N/A</v>
      </c>
      <c r="C157" s="1">
        <v>157</v>
      </c>
      <c r="D157" s="1" t="s">
        <v>344</v>
      </c>
      <c r="E157" s="1" t="s">
        <v>345</v>
      </c>
      <c r="Z157" s="6"/>
    </row>
    <row r="158" spans="1:26" ht="25">
      <c r="A158" s="2">
        <f ca="1">IF(COUNTIF($AA$1:$BXX$24,158) = 0,RAND(),RAND()-1)</f>
        <v>0.53926144601653592</v>
      </c>
      <c r="B158" s="2" t="e">
        <f t="shared" ca="1" si="10"/>
        <v>#N/A</v>
      </c>
      <c r="C158" s="1">
        <v>158</v>
      </c>
      <c r="D158" s="1" t="s">
        <v>346</v>
      </c>
      <c r="E158" s="1" t="s">
        <v>347</v>
      </c>
    </row>
    <row r="159" spans="1:26" ht="27">
      <c r="A159" s="2">
        <f ca="1">IF(COUNTIF($AA$1:$BXX$24,159) = 0,RAND(),RAND()-1)</f>
        <v>0.17330890393259391</v>
      </c>
      <c r="B159" s="2" t="e">
        <f t="shared" ca="1" si="10"/>
        <v>#N/A</v>
      </c>
      <c r="C159" s="1">
        <v>159</v>
      </c>
      <c r="D159" s="1" t="s">
        <v>348</v>
      </c>
      <c r="E159" s="1" t="s">
        <v>349</v>
      </c>
      <c r="Z159" s="6"/>
    </row>
    <row r="160" spans="1:26" ht="25">
      <c r="A160" s="2">
        <f ca="1">IF(COUNTIF($AA$1:$BXX$24,160) = 0,RAND(),RAND()-1)</f>
        <v>0.95518567547862954</v>
      </c>
      <c r="B160" s="2" t="e">
        <f t="shared" ca="1" si="10"/>
        <v>#N/A</v>
      </c>
      <c r="C160" s="1">
        <v>160</v>
      </c>
      <c r="D160" s="1" t="s">
        <v>350</v>
      </c>
      <c r="E160" s="1" t="s">
        <v>351</v>
      </c>
    </row>
    <row r="161" spans="1:26" ht="27">
      <c r="A161" s="2">
        <f ca="1">IF(COUNTIF($AA$1:$BXX$24,161) = 0,RAND(),RAND()-1)</f>
        <v>0.23548294905460343</v>
      </c>
      <c r="B161" s="2" t="e">
        <f t="shared" ca="1" si="10"/>
        <v>#N/A</v>
      </c>
      <c r="C161" s="1">
        <v>161</v>
      </c>
      <c r="D161" s="1" t="s">
        <v>352</v>
      </c>
      <c r="E161" s="1" t="s">
        <v>353</v>
      </c>
      <c r="Z161" s="6"/>
    </row>
    <row r="162" spans="1:26" ht="25">
      <c r="A162" s="2">
        <f ca="1">IF(COUNTIF($AA$1:$BXX$24,162) = 0,RAND(),RAND()-1)</f>
        <v>0.25275095742875764</v>
      </c>
      <c r="B162" s="2" t="e">
        <f t="shared" ca="1" si="10"/>
        <v>#N/A</v>
      </c>
      <c r="C162" s="1">
        <v>162</v>
      </c>
      <c r="D162" s="1" t="s">
        <v>354</v>
      </c>
      <c r="E162" s="1" t="s">
        <v>355</v>
      </c>
    </row>
    <row r="163" spans="1:26" ht="27">
      <c r="A163" s="2">
        <f ca="1">IF(COUNTIF($AA$1:$BXX$24,163) = 0,RAND(),RAND()-1)</f>
        <v>0.93582615863361118</v>
      </c>
      <c r="B163" s="2" t="e">
        <f t="shared" ca="1" si="10"/>
        <v>#N/A</v>
      </c>
      <c r="C163" s="1">
        <v>163</v>
      </c>
      <c r="D163" s="1" t="s">
        <v>356</v>
      </c>
      <c r="E163" s="1" t="s">
        <v>357</v>
      </c>
      <c r="Z163" s="6"/>
    </row>
    <row r="164" spans="1:26" ht="25">
      <c r="A164" s="2">
        <f ca="1">IF(COUNTIF($AA$1:$BXX$24,164) = 0,RAND(),RAND()-1)</f>
        <v>0.24742180669909752</v>
      </c>
      <c r="B164" s="2" t="e">
        <f t="shared" ca="1" si="10"/>
        <v>#N/A</v>
      </c>
      <c r="C164" s="1">
        <v>164</v>
      </c>
      <c r="D164" s="1" t="s">
        <v>358</v>
      </c>
      <c r="E164" s="1" t="s">
        <v>359</v>
      </c>
    </row>
    <row r="165" spans="1:26" ht="27">
      <c r="A165" s="2">
        <f ca="1">IF(COUNTIF($AA$1:$BXX$24,165) = 0,RAND(),RAND()-1)</f>
        <v>0.96111265000131441</v>
      </c>
      <c r="B165" s="2" t="e">
        <f t="shared" ca="1" si="10"/>
        <v>#N/A</v>
      </c>
      <c r="C165" s="1">
        <v>165</v>
      </c>
      <c r="D165" s="1" t="s">
        <v>360</v>
      </c>
      <c r="E165" s="1" t="s">
        <v>361</v>
      </c>
      <c r="Z165" s="6"/>
    </row>
    <row r="166" spans="1:26" ht="25">
      <c r="A166" s="2">
        <f ca="1">IF(COUNTIF($AA$1:$BXX$24,166) = 0,RAND(),RAND()-1)</f>
        <v>0.83470017104209671</v>
      </c>
      <c r="B166" s="2" t="e">
        <f t="shared" ca="1" si="10"/>
        <v>#N/A</v>
      </c>
      <c r="C166" s="1">
        <v>166</v>
      </c>
      <c r="D166" s="1" t="s">
        <v>362</v>
      </c>
      <c r="E166" s="1" t="s">
        <v>363</v>
      </c>
    </row>
    <row r="167" spans="1:26" ht="27">
      <c r="A167" s="2">
        <f ca="1">IF(COUNTIF($AA$1:$BXX$24,167) = 0,RAND(),RAND()-1)</f>
        <v>0.36517594395800068</v>
      </c>
      <c r="B167" s="2" t="e">
        <f t="shared" ca="1" si="10"/>
        <v>#N/A</v>
      </c>
      <c r="C167" s="1">
        <v>167</v>
      </c>
      <c r="D167" s="1" t="s">
        <v>364</v>
      </c>
      <c r="E167" s="1" t="s">
        <v>365</v>
      </c>
      <c r="Z167" s="6"/>
    </row>
    <row r="168" spans="1:26" ht="25">
      <c r="A168" s="2">
        <f ca="1">IF(COUNTIF($AA$1:$BXX$24,168) = 0,RAND(),RAND()-1)</f>
        <v>0.11145050585769489</v>
      </c>
      <c r="B168" s="2" t="e">
        <f t="shared" ca="1" si="10"/>
        <v>#N/A</v>
      </c>
      <c r="C168" s="1">
        <v>168</v>
      </c>
      <c r="D168" s="1" t="s">
        <v>366</v>
      </c>
      <c r="E168" s="1" t="s">
        <v>367</v>
      </c>
    </row>
    <row r="169" spans="1:26" ht="27">
      <c r="A169" s="2">
        <f ca="1">IF(COUNTIF($AA$1:$BXX$24,169) = 0,RAND(),RAND()-1)</f>
        <v>0.48730516622702968</v>
      </c>
      <c r="B169" s="2" t="e">
        <f t="shared" ca="1" si="10"/>
        <v>#N/A</v>
      </c>
      <c r="C169" s="1">
        <v>169</v>
      </c>
      <c r="D169" s="1" t="s">
        <v>368</v>
      </c>
      <c r="E169" s="1" t="s">
        <v>369</v>
      </c>
      <c r="Z169" s="6"/>
    </row>
    <row r="170" spans="1:26" ht="25">
      <c r="A170" s="2">
        <f ca="1">IF(COUNTIF($AA$1:$BXX$24,170) = 0,RAND(),RAND()-1)</f>
        <v>0.69687168845341985</v>
      </c>
      <c r="B170" s="2" t="e">
        <f t="shared" ca="1" si="10"/>
        <v>#N/A</v>
      </c>
      <c r="C170" s="1">
        <v>170</v>
      </c>
      <c r="D170" s="1" t="s">
        <v>370</v>
      </c>
      <c r="E170" s="1" t="s">
        <v>371</v>
      </c>
    </row>
    <row r="171" spans="1:26" ht="27">
      <c r="A171" s="2">
        <f ca="1">IF(COUNTIF($AA$1:$BXX$24,171) = 0,RAND(),RAND()-1)</f>
        <v>0.4915568685967131</v>
      </c>
      <c r="B171" s="2" t="e">
        <f t="shared" ca="1" si="10"/>
        <v>#N/A</v>
      </c>
      <c r="C171" s="1">
        <v>171</v>
      </c>
      <c r="D171" s="1" t="s">
        <v>372</v>
      </c>
      <c r="E171" s="1" t="s">
        <v>303</v>
      </c>
      <c r="Z171" s="6"/>
    </row>
    <row r="172" spans="1:26" ht="25">
      <c r="A172" s="2">
        <f ca="1">IF(COUNTIF($AA$1:$BXX$24,172) = 0,RAND(),RAND()-1)</f>
        <v>0.33830196767216625</v>
      </c>
      <c r="B172" s="2" t="e">
        <f t="shared" ca="1" si="10"/>
        <v>#N/A</v>
      </c>
      <c r="C172" s="1">
        <v>172</v>
      </c>
      <c r="D172" s="1" t="s">
        <v>373</v>
      </c>
      <c r="E172" s="1" t="s">
        <v>374</v>
      </c>
    </row>
    <row r="173" spans="1:26" ht="27">
      <c r="A173" s="2">
        <f ca="1">IF(COUNTIF($AA$1:$BXX$24,173) = 0,RAND(),RAND()-1)</f>
        <v>0.28190894031549818</v>
      </c>
      <c r="B173" s="2" t="e">
        <f t="shared" ca="1" si="10"/>
        <v>#N/A</v>
      </c>
      <c r="C173" s="1">
        <v>173</v>
      </c>
      <c r="D173" s="1" t="s">
        <v>375</v>
      </c>
      <c r="E173" s="1" t="s">
        <v>248</v>
      </c>
      <c r="Z173" s="6"/>
    </row>
    <row r="174" spans="1:26" ht="25">
      <c r="A174" s="2">
        <f ca="1">IF(COUNTIF($AA$1:$BXX$24,174) = 0,RAND(),RAND()-1)</f>
        <v>8.9103134818153795E-2</v>
      </c>
      <c r="B174" s="2" t="e">
        <f t="shared" ca="1" si="10"/>
        <v>#N/A</v>
      </c>
      <c r="C174" s="1">
        <v>174</v>
      </c>
      <c r="D174" s="1" t="s">
        <v>376</v>
      </c>
      <c r="E174" s="1" t="s">
        <v>377</v>
      </c>
    </row>
    <row r="175" spans="1:26" ht="27">
      <c r="A175" s="2">
        <f ca="1">IF(COUNTIF($AA$1:$BXX$24,175) = 0,RAND(),RAND()-1)</f>
        <v>0.4669157713428771</v>
      </c>
      <c r="B175" s="2" t="e">
        <f t="shared" ca="1" si="10"/>
        <v>#N/A</v>
      </c>
      <c r="C175" s="1">
        <v>175</v>
      </c>
      <c r="D175" s="1" t="s">
        <v>378</v>
      </c>
      <c r="E175" s="1" t="s">
        <v>379</v>
      </c>
      <c r="Z175" s="6"/>
    </row>
    <row r="176" spans="1:26" ht="25">
      <c r="A176" s="2">
        <f ca="1">IF(COUNTIF($AA$1:$BXX$24,176) = 0,RAND(),RAND()-1)</f>
        <v>0.16834760166107332</v>
      </c>
      <c r="B176" s="2" t="e">
        <f t="shared" ca="1" si="10"/>
        <v>#N/A</v>
      </c>
      <c r="C176" s="1">
        <v>176</v>
      </c>
      <c r="D176" s="1" t="s">
        <v>380</v>
      </c>
      <c r="E176" s="1" t="s">
        <v>381</v>
      </c>
    </row>
    <row r="177" spans="1:26" ht="27">
      <c r="A177" s="2">
        <f ca="1">IF(COUNTIF($AA$1:$BXX$24,177) = 0,RAND(),RAND()-1)</f>
        <v>0.64612183058450545</v>
      </c>
      <c r="B177" s="2" t="e">
        <f t="shared" ca="1" si="10"/>
        <v>#N/A</v>
      </c>
      <c r="C177" s="1">
        <v>177</v>
      </c>
      <c r="D177" s="1" t="s">
        <v>382</v>
      </c>
      <c r="E177" s="1" t="s">
        <v>383</v>
      </c>
      <c r="Z177" s="6"/>
    </row>
    <row r="178" spans="1:26" ht="25">
      <c r="A178" s="2">
        <f ca="1">IF(COUNTIF($AA$1:$BXX$24,178) = 0,RAND(),RAND()-1)</f>
        <v>6.7491612937212619E-2</v>
      </c>
      <c r="B178" s="2" t="e">
        <f t="shared" ca="1" si="10"/>
        <v>#N/A</v>
      </c>
      <c r="C178" s="1">
        <v>178</v>
      </c>
      <c r="D178" s="1" t="s">
        <v>384</v>
      </c>
      <c r="E178" s="1" t="s">
        <v>385</v>
      </c>
    </row>
    <row r="179" spans="1:26" ht="27">
      <c r="A179" s="2">
        <f ca="1">IF(COUNTIF($AA$1:$BXX$24,179) = 0,RAND(),RAND()-1)</f>
        <v>0.58354460323954327</v>
      </c>
      <c r="B179" s="2" t="e">
        <f t="shared" ca="1" si="10"/>
        <v>#N/A</v>
      </c>
      <c r="C179" s="1">
        <v>179</v>
      </c>
      <c r="D179" s="1" t="s">
        <v>386</v>
      </c>
      <c r="E179" s="1" t="s">
        <v>387</v>
      </c>
      <c r="Z179" s="6"/>
    </row>
    <row r="180" spans="1:26" ht="25">
      <c r="A180" s="2">
        <f ca="1">IF(COUNTIF($AA$1:$BXX$24,180) = 0,RAND(),RAND()-1)</f>
        <v>0.33153702269763718</v>
      </c>
      <c r="B180" s="2" t="e">
        <f t="shared" ca="1" si="10"/>
        <v>#N/A</v>
      </c>
      <c r="C180" s="1">
        <v>180</v>
      </c>
      <c r="D180" s="1" t="s">
        <v>388</v>
      </c>
      <c r="E180" s="1" t="s">
        <v>389</v>
      </c>
    </row>
    <row r="181" spans="1:26" ht="27">
      <c r="A181" s="2">
        <f ca="1">IF(COUNTIF($AA$1:$BXX$24,181) = 0,RAND(),RAND()-1)</f>
        <v>0.98767204130121078</v>
      </c>
      <c r="B181" s="2" t="e">
        <f t="shared" ca="1" si="10"/>
        <v>#N/A</v>
      </c>
      <c r="C181" s="1">
        <v>181</v>
      </c>
      <c r="D181" s="1" t="s">
        <v>390</v>
      </c>
      <c r="E181" s="1" t="s">
        <v>391</v>
      </c>
      <c r="Z181" s="6"/>
    </row>
    <row r="182" spans="1:26" ht="25">
      <c r="A182" s="2">
        <f ca="1">IF(COUNTIF($AA$1:$BXX$24,182) = 0,RAND(),RAND()-1)</f>
        <v>0.7003063579999439</v>
      </c>
      <c r="B182" s="2" t="e">
        <f t="shared" ca="1" si="10"/>
        <v>#N/A</v>
      </c>
      <c r="C182" s="1">
        <v>182</v>
      </c>
      <c r="D182" s="1" t="s">
        <v>392</v>
      </c>
      <c r="E182" s="1" t="s">
        <v>393</v>
      </c>
    </row>
    <row r="183" spans="1:26" ht="27">
      <c r="A183" s="2">
        <f ca="1">IF(COUNTIF($AA$1:$BXX$24,183) = 0,RAND(),RAND()-1)</f>
        <v>0.51647249518374616</v>
      </c>
      <c r="B183" s="2" t="e">
        <f t="shared" ca="1" si="10"/>
        <v>#N/A</v>
      </c>
      <c r="C183" s="1">
        <v>183</v>
      </c>
      <c r="D183" s="1" t="s">
        <v>394</v>
      </c>
      <c r="E183" s="1" t="s">
        <v>395</v>
      </c>
      <c r="Z183" s="6"/>
    </row>
    <row r="184" spans="1:26" ht="25">
      <c r="A184" s="2">
        <f ca="1">IF(COUNTIF($AA$1:$BXX$24,184) = 0,RAND(),RAND()-1)</f>
        <v>0.98309012967879905</v>
      </c>
      <c r="B184" s="2" t="e">
        <f t="shared" ca="1" si="10"/>
        <v>#N/A</v>
      </c>
      <c r="C184" s="1">
        <v>184</v>
      </c>
      <c r="D184" s="1" t="s">
        <v>396</v>
      </c>
      <c r="E184" s="1" t="s">
        <v>397</v>
      </c>
    </row>
    <row r="185" spans="1:26" ht="27">
      <c r="A185" s="2">
        <f ca="1">IF(COUNTIF($AA$1:$BXX$24,185) = 0,RAND(),RAND()-1)</f>
        <v>0.63424577885766131</v>
      </c>
      <c r="B185" s="2" t="e">
        <f t="shared" ca="1" si="10"/>
        <v>#N/A</v>
      </c>
      <c r="C185" s="1">
        <v>185</v>
      </c>
      <c r="D185" s="1" t="s">
        <v>398</v>
      </c>
      <c r="E185" s="1" t="s">
        <v>399</v>
      </c>
      <c r="Z185" s="6"/>
    </row>
    <row r="186" spans="1:26" ht="25">
      <c r="A186" s="2">
        <f ca="1">IF(COUNTIF($AA$1:$BXX$24,186) = 0,RAND(),RAND()-1)</f>
        <v>0.74486682403226279</v>
      </c>
      <c r="B186" s="2" t="e">
        <f t="shared" ca="1" si="10"/>
        <v>#N/A</v>
      </c>
      <c r="C186" s="1">
        <v>186</v>
      </c>
      <c r="D186" s="1" t="s">
        <v>400</v>
      </c>
      <c r="E186" s="1" t="s">
        <v>401</v>
      </c>
    </row>
    <row r="187" spans="1:26" ht="27">
      <c r="A187" s="2">
        <f ca="1">IF(COUNTIF($AA$1:$BXX$24,187) = 0,RAND(),RAND()-1)</f>
        <v>0.88059961952103127</v>
      </c>
      <c r="B187" s="2" t="e">
        <f t="shared" ca="1" si="10"/>
        <v>#N/A</v>
      </c>
      <c r="C187" s="1">
        <v>187</v>
      </c>
      <c r="D187" s="1" t="s">
        <v>402</v>
      </c>
      <c r="E187" s="1" t="s">
        <v>403</v>
      </c>
      <c r="Z187" s="6"/>
    </row>
    <row r="188" spans="1:26" ht="25">
      <c r="A188" s="2">
        <f ca="1">IF(COUNTIF($AA$1:$BXX$24,188) = 0,RAND(),RAND()-1)</f>
        <v>0.86427619345741424</v>
      </c>
      <c r="B188" s="2" t="e">
        <f t="shared" ca="1" si="10"/>
        <v>#N/A</v>
      </c>
      <c r="C188" s="1">
        <v>188</v>
      </c>
      <c r="D188" s="1" t="s">
        <v>404</v>
      </c>
      <c r="E188" s="1" t="s">
        <v>405</v>
      </c>
    </row>
    <row r="189" spans="1:26" ht="27">
      <c r="A189" s="2">
        <f ca="1">IF(COUNTIF($AA$1:$BXX$24,189) = 0,RAND(),RAND()-1)</f>
        <v>0.54336118965630575</v>
      </c>
      <c r="B189" s="2" t="e">
        <f t="shared" ca="1" si="10"/>
        <v>#N/A</v>
      </c>
      <c r="C189" s="1">
        <v>189</v>
      </c>
      <c r="D189" s="1" t="s">
        <v>406</v>
      </c>
      <c r="E189" s="1" t="s">
        <v>407</v>
      </c>
      <c r="Z189" s="6"/>
    </row>
    <row r="190" spans="1:26" ht="25">
      <c r="A190" s="2">
        <f ca="1">IF(COUNTIF($AA$1:$BXX$24,190) = 0,RAND(),RAND()-1)</f>
        <v>0.49797167782527274</v>
      </c>
      <c r="B190" s="2" t="e">
        <f t="shared" ca="1" si="10"/>
        <v>#N/A</v>
      </c>
      <c r="C190" s="1">
        <v>190</v>
      </c>
      <c r="D190" s="1" t="s">
        <v>408</v>
      </c>
      <c r="E190" s="1" t="s">
        <v>409</v>
      </c>
    </row>
    <row r="191" spans="1:26" ht="27">
      <c r="A191" s="2">
        <f ca="1">IF(COUNTIF($AA$1:$BXX$24,191) = 0,RAND(),RAND()-1)</f>
        <v>0.62883461658702078</v>
      </c>
      <c r="B191" s="2" t="e">
        <f t="shared" ca="1" si="10"/>
        <v>#N/A</v>
      </c>
      <c r="C191" s="1">
        <v>191</v>
      </c>
      <c r="D191" s="1" t="s">
        <v>410</v>
      </c>
      <c r="E191" s="1" t="s">
        <v>411</v>
      </c>
      <c r="Z191" s="6"/>
    </row>
    <row r="192" spans="1:26" ht="25">
      <c r="A192" s="2">
        <f ca="1">IF(COUNTIF($AA$1:$BXX$24,192) = 0,RAND(),RAND()-1)</f>
        <v>0.88524857998070738</v>
      </c>
      <c r="B192" s="2" t="e">
        <f t="shared" ca="1" si="10"/>
        <v>#N/A</v>
      </c>
      <c r="C192" s="1">
        <v>192</v>
      </c>
      <c r="D192" s="1" t="s">
        <v>412</v>
      </c>
      <c r="E192" s="1" t="s">
        <v>413</v>
      </c>
    </row>
    <row r="193" spans="1:26" ht="27">
      <c r="A193" s="2">
        <f ca="1">IF(COUNTIF($AA$1:$BXX$24,193) = 0,RAND(),RAND()-1)</f>
        <v>0.11641681394032211</v>
      </c>
      <c r="B193" s="2" t="e">
        <f t="shared" ref="B193:B256" ca="1" si="11">RANK(A193,OFFSET($A$1,$G$1-1,0,$G$2-$G$1+1))</f>
        <v>#N/A</v>
      </c>
      <c r="C193" s="1">
        <v>193</v>
      </c>
      <c r="D193" s="1" t="s">
        <v>414</v>
      </c>
      <c r="E193" s="1" t="s">
        <v>415</v>
      </c>
      <c r="Z193" s="6"/>
    </row>
    <row r="194" spans="1:26" ht="25">
      <c r="A194" s="2">
        <f ca="1">IF(COUNTIF($AA$1:$BXX$24,194) = 0,RAND(),RAND()-1)</f>
        <v>0.3524487647233967</v>
      </c>
      <c r="B194" s="2" t="e">
        <f t="shared" ca="1" si="11"/>
        <v>#N/A</v>
      </c>
      <c r="C194" s="1">
        <v>194</v>
      </c>
      <c r="D194" s="1" t="s">
        <v>416</v>
      </c>
      <c r="E194" s="1" t="s">
        <v>417</v>
      </c>
    </row>
    <row r="195" spans="1:26" ht="27">
      <c r="A195" s="2">
        <f ca="1">IF(COUNTIF($AA$1:$BXX$24,195) = 0,RAND(),RAND()-1)</f>
        <v>0.70792028377488569</v>
      </c>
      <c r="B195" s="2" t="e">
        <f t="shared" ca="1" si="11"/>
        <v>#N/A</v>
      </c>
      <c r="C195" s="1">
        <v>195</v>
      </c>
      <c r="D195" s="1" t="s">
        <v>418</v>
      </c>
      <c r="E195" s="1" t="s">
        <v>419</v>
      </c>
      <c r="Z195" s="6"/>
    </row>
    <row r="196" spans="1:26" ht="25">
      <c r="A196" s="2">
        <f ca="1">IF(COUNTIF($AA$1:$BXX$24,196) = 0,RAND(),RAND()-1)</f>
        <v>0.71102165021882169</v>
      </c>
      <c r="B196" s="2" t="e">
        <f t="shared" ca="1" si="11"/>
        <v>#N/A</v>
      </c>
      <c r="C196" s="1">
        <v>196</v>
      </c>
      <c r="D196" s="1" t="s">
        <v>420</v>
      </c>
      <c r="E196" s="1" t="s">
        <v>421</v>
      </c>
    </row>
    <row r="197" spans="1:26" ht="27">
      <c r="A197" s="2">
        <f ca="1">IF(COUNTIF($AA$1:$BXX$24,197) = 0,RAND(),RAND()-1)</f>
        <v>0.33225967054166894</v>
      </c>
      <c r="B197" s="2" t="e">
        <f t="shared" ca="1" si="11"/>
        <v>#N/A</v>
      </c>
      <c r="C197" s="1">
        <v>197</v>
      </c>
      <c r="D197" s="1" t="s">
        <v>422</v>
      </c>
      <c r="E197" s="1" t="s">
        <v>423</v>
      </c>
      <c r="Z197" s="6"/>
    </row>
    <row r="198" spans="1:26" ht="25">
      <c r="A198" s="2">
        <f ca="1">IF(COUNTIF($AA$1:$BXX$24,198) = 0,RAND(),RAND()-1)</f>
        <v>0.57142121196826257</v>
      </c>
      <c r="B198" s="2" t="e">
        <f t="shared" ca="1" si="11"/>
        <v>#N/A</v>
      </c>
      <c r="C198" s="1">
        <v>198</v>
      </c>
      <c r="D198" s="1" t="s">
        <v>424</v>
      </c>
      <c r="E198" s="1" t="s">
        <v>425</v>
      </c>
    </row>
    <row r="199" spans="1:26" ht="27">
      <c r="A199" s="2">
        <f ca="1">IF(COUNTIF($AA$1:$BXX$24,199) = 0,RAND(),RAND()-1)</f>
        <v>0.22993911884161133</v>
      </c>
      <c r="B199" s="2" t="e">
        <f t="shared" ca="1" si="11"/>
        <v>#N/A</v>
      </c>
      <c r="C199" s="1">
        <v>199</v>
      </c>
      <c r="D199" s="1" t="s">
        <v>426</v>
      </c>
      <c r="E199" s="1" t="s">
        <v>427</v>
      </c>
      <c r="Z199" s="6"/>
    </row>
    <row r="200" spans="1:26" ht="25">
      <c r="A200" s="2">
        <f ca="1">IF(COUNTIF($AA$1:$BXX$24,200) = 0,RAND(),RAND()-1)</f>
        <v>0.29184086377052387</v>
      </c>
      <c r="B200" s="2" t="e">
        <f t="shared" ca="1" si="11"/>
        <v>#N/A</v>
      </c>
      <c r="C200" s="1">
        <v>200</v>
      </c>
      <c r="D200" s="1" t="s">
        <v>428</v>
      </c>
      <c r="E200" s="1" t="s">
        <v>429</v>
      </c>
    </row>
    <row r="201" spans="1:26" ht="27">
      <c r="A201" s="2">
        <f ca="1">IF(COUNTIF($AA$1:$BXX$24,201) = 0,RAND(),RAND()-1)</f>
        <v>0.83343484331824835</v>
      </c>
      <c r="B201" s="2" t="e">
        <f t="shared" ca="1" si="11"/>
        <v>#N/A</v>
      </c>
      <c r="C201" s="1">
        <v>201</v>
      </c>
      <c r="D201" s="1" t="s">
        <v>430</v>
      </c>
      <c r="E201" s="1" t="s">
        <v>431</v>
      </c>
      <c r="Z201" s="6"/>
    </row>
    <row r="202" spans="1:26" ht="25">
      <c r="A202" s="2">
        <f ca="1">IF(COUNTIF($AA$1:$BXX$24,202) = 0,RAND(),RAND()-1)</f>
        <v>0.39557870389961158</v>
      </c>
      <c r="B202" s="2" t="e">
        <f t="shared" ca="1" si="11"/>
        <v>#N/A</v>
      </c>
      <c r="C202" s="1">
        <v>202</v>
      </c>
      <c r="D202" s="1" t="s">
        <v>432</v>
      </c>
      <c r="E202" s="1" t="s">
        <v>433</v>
      </c>
    </row>
    <row r="203" spans="1:26" ht="27">
      <c r="A203" s="2">
        <f ca="1">IF(COUNTIF($AA$1:$BXX$24,203) = 0,RAND(),RAND()-1)</f>
        <v>0.26670929218409845</v>
      </c>
      <c r="B203" s="2" t="e">
        <f t="shared" ca="1" si="11"/>
        <v>#N/A</v>
      </c>
      <c r="C203" s="1">
        <v>203</v>
      </c>
      <c r="D203" s="1" t="s">
        <v>434</v>
      </c>
      <c r="E203" s="1" t="s">
        <v>435</v>
      </c>
      <c r="Z203" s="6"/>
    </row>
    <row r="204" spans="1:26" ht="25">
      <c r="A204" s="2">
        <f ca="1">IF(COUNTIF($AA$1:$BXX$24,204) = 0,RAND(),RAND()-1)</f>
        <v>0.43054612141827853</v>
      </c>
      <c r="B204" s="2" t="e">
        <f t="shared" ca="1" si="11"/>
        <v>#N/A</v>
      </c>
      <c r="C204" s="1">
        <v>204</v>
      </c>
      <c r="D204" s="1" t="s">
        <v>436</v>
      </c>
      <c r="E204" s="1" t="s">
        <v>437</v>
      </c>
    </row>
    <row r="205" spans="1:26" ht="27">
      <c r="A205" s="2">
        <f ca="1">IF(COUNTIF($AA$1:$BXX$24,205) = 0,RAND(),RAND()-1)</f>
        <v>0.22248668539723571</v>
      </c>
      <c r="B205" s="2" t="e">
        <f t="shared" ca="1" si="11"/>
        <v>#N/A</v>
      </c>
      <c r="C205" s="1">
        <v>205</v>
      </c>
      <c r="D205" s="1" t="s">
        <v>438</v>
      </c>
      <c r="E205" s="1" t="s">
        <v>439</v>
      </c>
      <c r="Z205" s="6"/>
    </row>
    <row r="206" spans="1:26" ht="25">
      <c r="A206" s="2">
        <f ca="1">IF(COUNTIF($AA$1:$BXX$24,206) = 0,RAND(),RAND()-1)</f>
        <v>0.87885793990943228</v>
      </c>
      <c r="B206" s="2" t="e">
        <f t="shared" ca="1" si="11"/>
        <v>#N/A</v>
      </c>
      <c r="C206" s="1">
        <v>206</v>
      </c>
      <c r="D206" s="1" t="s">
        <v>440</v>
      </c>
      <c r="E206" s="1" t="s">
        <v>441</v>
      </c>
    </row>
    <row r="207" spans="1:26" ht="27">
      <c r="A207" s="2">
        <f ca="1">IF(COUNTIF($AA$1:$BXX$24,207) = 0,RAND(),RAND()-1)</f>
        <v>0.15575623275102257</v>
      </c>
      <c r="B207" s="2" t="e">
        <f t="shared" ca="1" si="11"/>
        <v>#N/A</v>
      </c>
      <c r="C207" s="1">
        <v>207</v>
      </c>
      <c r="D207" s="1" t="s">
        <v>442</v>
      </c>
      <c r="E207" s="1" t="s">
        <v>443</v>
      </c>
      <c r="Z207" s="6"/>
    </row>
    <row r="208" spans="1:26" ht="25">
      <c r="A208" s="2">
        <f ca="1">IF(COUNTIF($AA$1:$BXX$24,208) = 0,RAND(),RAND()-1)</f>
        <v>0.90250445600281581</v>
      </c>
      <c r="B208" s="2" t="e">
        <f t="shared" ca="1" si="11"/>
        <v>#N/A</v>
      </c>
      <c r="C208" s="1">
        <v>208</v>
      </c>
      <c r="D208" s="1" t="s">
        <v>444</v>
      </c>
      <c r="E208" s="1" t="s">
        <v>445</v>
      </c>
    </row>
    <row r="209" spans="1:26" ht="27">
      <c r="A209" s="2">
        <f ca="1">IF(COUNTIF($AA$1:$BXX$24,209) = 0,RAND(),RAND()-1)</f>
        <v>0.21009484262225553</v>
      </c>
      <c r="B209" s="2" t="e">
        <f t="shared" ca="1" si="11"/>
        <v>#N/A</v>
      </c>
      <c r="C209" s="1">
        <v>209</v>
      </c>
      <c r="D209" s="1" t="s">
        <v>446</v>
      </c>
      <c r="E209" s="1" t="s">
        <v>447</v>
      </c>
      <c r="Z209" s="6"/>
    </row>
    <row r="210" spans="1:26" ht="25">
      <c r="A210" s="2">
        <f ca="1">IF(COUNTIF($AA$1:$BXX$24,210) = 0,RAND(),RAND()-1)</f>
        <v>4.4017983452628084E-2</v>
      </c>
      <c r="B210" s="2" t="e">
        <f t="shared" ca="1" si="11"/>
        <v>#N/A</v>
      </c>
      <c r="C210" s="1">
        <v>210</v>
      </c>
      <c r="D210" s="1" t="s">
        <v>448</v>
      </c>
      <c r="E210" s="1" t="s">
        <v>449</v>
      </c>
    </row>
    <row r="211" spans="1:26" ht="27">
      <c r="A211" s="2">
        <f ca="1">IF(COUNTIF($AA$1:$BXX$24,211) = 0,RAND(),RAND()-1)</f>
        <v>0.60793461324166687</v>
      </c>
      <c r="B211" s="2" t="e">
        <f t="shared" ca="1" si="11"/>
        <v>#N/A</v>
      </c>
      <c r="C211" s="1">
        <v>211</v>
      </c>
      <c r="D211" s="1" t="s">
        <v>450</v>
      </c>
      <c r="E211" s="1" t="s">
        <v>451</v>
      </c>
      <c r="Z211" s="6"/>
    </row>
    <row r="212" spans="1:26" ht="25">
      <c r="A212" s="2">
        <f ca="1">IF(COUNTIF($AA$1:$BXX$24,212) = 0,RAND(),RAND()-1)</f>
        <v>0.40701143354149405</v>
      </c>
      <c r="B212" s="2" t="e">
        <f t="shared" ca="1" si="11"/>
        <v>#N/A</v>
      </c>
      <c r="C212" s="1">
        <v>212</v>
      </c>
      <c r="D212" s="1" t="s">
        <v>452</v>
      </c>
      <c r="E212" s="1" t="s">
        <v>453</v>
      </c>
    </row>
    <row r="213" spans="1:26" ht="27">
      <c r="A213" s="2">
        <f ca="1">IF(COUNTIF($AA$1:$BXX$24,213) = 0,RAND(),RAND()-1)</f>
        <v>0.27465292693044807</v>
      </c>
      <c r="B213" s="2" t="e">
        <f t="shared" ca="1" si="11"/>
        <v>#N/A</v>
      </c>
      <c r="C213" s="1">
        <v>213</v>
      </c>
      <c r="D213" s="1" t="s">
        <v>454</v>
      </c>
      <c r="E213" s="1" t="s">
        <v>455</v>
      </c>
      <c r="Z213" s="6"/>
    </row>
    <row r="214" spans="1:26" ht="25">
      <c r="A214" s="2">
        <f ca="1">IF(COUNTIF($AA$1:$BXX$24,214) = 0,RAND(),RAND()-1)</f>
        <v>0.60464046013069594</v>
      </c>
      <c r="B214" s="2" t="e">
        <f t="shared" ca="1" si="11"/>
        <v>#N/A</v>
      </c>
      <c r="C214" s="1">
        <v>214</v>
      </c>
      <c r="D214" s="1" t="s">
        <v>456</v>
      </c>
      <c r="E214" s="1" t="s">
        <v>381</v>
      </c>
    </row>
    <row r="215" spans="1:26" ht="27">
      <c r="A215" s="2">
        <f ca="1">IF(COUNTIF($AA$1:$BXX$24,215) = 0,RAND(),RAND()-1)</f>
        <v>0.80180437210113464</v>
      </c>
      <c r="B215" s="2" t="e">
        <f t="shared" ca="1" si="11"/>
        <v>#N/A</v>
      </c>
      <c r="C215" s="1">
        <v>215</v>
      </c>
      <c r="D215" s="1" t="s">
        <v>457</v>
      </c>
      <c r="E215" s="1" t="s">
        <v>458</v>
      </c>
      <c r="Z215" s="6"/>
    </row>
    <row r="216" spans="1:26" ht="25">
      <c r="A216" s="2">
        <f ca="1">IF(COUNTIF($AA$1:$BXX$24,216) = 0,RAND(),RAND()-1)</f>
        <v>0.83491473248442905</v>
      </c>
      <c r="B216" s="2" t="e">
        <f t="shared" ca="1" si="11"/>
        <v>#N/A</v>
      </c>
      <c r="C216" s="1">
        <v>216</v>
      </c>
      <c r="D216" s="1" t="s">
        <v>459</v>
      </c>
      <c r="E216" s="1" t="s">
        <v>460</v>
      </c>
    </row>
    <row r="217" spans="1:26" ht="27">
      <c r="A217" s="2">
        <f ca="1">IF(COUNTIF($AA$1:$BXX$24,217) = 0,RAND(),RAND()-1)</f>
        <v>0.21236518375078828</v>
      </c>
      <c r="B217" s="2" t="e">
        <f t="shared" ca="1" si="11"/>
        <v>#N/A</v>
      </c>
      <c r="C217" s="1">
        <v>217</v>
      </c>
      <c r="D217" s="1" t="s">
        <v>461</v>
      </c>
      <c r="E217" s="1" t="s">
        <v>462</v>
      </c>
      <c r="Z217" s="6"/>
    </row>
    <row r="218" spans="1:26" ht="25">
      <c r="A218" s="2">
        <f ca="1">IF(COUNTIF($AA$1:$BXX$24,218) = 0,RAND(),RAND()-1)</f>
        <v>2.0503520845786549E-2</v>
      </c>
      <c r="B218" s="2" t="e">
        <f t="shared" ca="1" si="11"/>
        <v>#N/A</v>
      </c>
      <c r="C218" s="1">
        <v>218</v>
      </c>
      <c r="D218" s="1" t="s">
        <v>463</v>
      </c>
      <c r="E218" s="1" t="s">
        <v>464</v>
      </c>
    </row>
    <row r="219" spans="1:26" ht="27">
      <c r="A219" s="2">
        <f ca="1">IF(COUNTIF($AA$1:$BXX$24,219) = 0,RAND(),RAND()-1)</f>
        <v>3.0595274016943508E-2</v>
      </c>
      <c r="B219" s="2" t="e">
        <f t="shared" ca="1" si="11"/>
        <v>#N/A</v>
      </c>
      <c r="C219" s="1">
        <v>219</v>
      </c>
      <c r="D219" s="1" t="s">
        <v>465</v>
      </c>
      <c r="E219" s="1" t="s">
        <v>466</v>
      </c>
      <c r="Z219" s="6"/>
    </row>
    <row r="220" spans="1:26" ht="25">
      <c r="A220" s="2">
        <f ca="1">IF(COUNTIF($AA$1:$BXX$24,220) = 0,RAND(),RAND()-1)</f>
        <v>0.68764238332108873</v>
      </c>
      <c r="B220" s="2" t="e">
        <f t="shared" ca="1" si="11"/>
        <v>#N/A</v>
      </c>
      <c r="C220" s="1">
        <v>220</v>
      </c>
      <c r="D220" s="1" t="s">
        <v>467</v>
      </c>
      <c r="E220" s="1" t="s">
        <v>468</v>
      </c>
    </row>
    <row r="221" spans="1:26" ht="27">
      <c r="A221" s="2">
        <f ca="1">IF(COUNTIF($AA$1:$BXX$24,221) = 0,RAND(),RAND()-1)</f>
        <v>0.63634687625803121</v>
      </c>
      <c r="B221" s="2" t="e">
        <f t="shared" ca="1" si="11"/>
        <v>#N/A</v>
      </c>
      <c r="C221" s="1">
        <v>221</v>
      </c>
      <c r="D221" s="1" t="s">
        <v>469</v>
      </c>
      <c r="E221" s="1" t="s">
        <v>470</v>
      </c>
      <c r="Z221" s="6"/>
    </row>
    <row r="222" spans="1:26" ht="25">
      <c r="A222" s="2">
        <f ca="1">IF(COUNTIF($AA$1:$BXX$24,222) = 0,RAND(),RAND()-1)</f>
        <v>0.47002672768082199</v>
      </c>
      <c r="B222" s="2" t="e">
        <f t="shared" ca="1" si="11"/>
        <v>#N/A</v>
      </c>
      <c r="C222" s="1">
        <v>222</v>
      </c>
      <c r="D222" s="1" t="s">
        <v>471</v>
      </c>
      <c r="E222" s="1" t="s">
        <v>472</v>
      </c>
    </row>
    <row r="223" spans="1:26" ht="27">
      <c r="A223" s="2">
        <f ca="1">IF(COUNTIF($AA$1:$BXX$24,223) = 0,RAND(),RAND()-1)</f>
        <v>0.86049137295215306</v>
      </c>
      <c r="B223" s="2" t="e">
        <f t="shared" ca="1" si="11"/>
        <v>#N/A</v>
      </c>
      <c r="C223" s="1">
        <v>223</v>
      </c>
      <c r="D223" s="1" t="s">
        <v>473</v>
      </c>
      <c r="E223" s="1" t="s">
        <v>474</v>
      </c>
      <c r="Z223" s="6"/>
    </row>
    <row r="224" spans="1:26" ht="25">
      <c r="A224" s="2">
        <f ca="1">IF(COUNTIF($AA$1:$BXX$24,224) = 0,RAND(),RAND()-1)</f>
        <v>0.58412529018873804</v>
      </c>
      <c r="B224" s="2" t="e">
        <f t="shared" ca="1" si="11"/>
        <v>#N/A</v>
      </c>
      <c r="C224" s="1">
        <v>224</v>
      </c>
      <c r="D224" s="1" t="s">
        <v>475</v>
      </c>
      <c r="E224" s="1" t="s">
        <v>476</v>
      </c>
    </row>
    <row r="225" spans="1:26" ht="27">
      <c r="A225" s="2">
        <f ca="1">IF(COUNTIF($AA$1:$BXX$24,225) = 0,RAND(),RAND()-1)</f>
        <v>5.1767054711919891E-2</v>
      </c>
      <c r="B225" s="2" t="e">
        <f t="shared" ca="1" si="11"/>
        <v>#N/A</v>
      </c>
      <c r="C225" s="1">
        <v>225</v>
      </c>
      <c r="D225" s="1" t="s">
        <v>477</v>
      </c>
      <c r="E225" s="1" t="s">
        <v>478</v>
      </c>
      <c r="Z225" s="6"/>
    </row>
    <row r="226" spans="1:26" ht="25">
      <c r="A226" s="2">
        <f ca="1">IF(COUNTIF($AA$1:$BXX$24,226) = 0,RAND(),RAND()-1)</f>
        <v>0.20513227613877127</v>
      </c>
      <c r="B226" s="2" t="e">
        <f t="shared" ca="1" si="11"/>
        <v>#N/A</v>
      </c>
      <c r="C226" s="1">
        <v>226</v>
      </c>
      <c r="D226" s="1" t="s">
        <v>479</v>
      </c>
      <c r="E226" s="1" t="s">
        <v>480</v>
      </c>
    </row>
    <row r="227" spans="1:26" ht="27">
      <c r="A227" s="2">
        <f ca="1">IF(COUNTIF($AA$1:$BXX$24,227) = 0,RAND(),RAND()-1)</f>
        <v>0.55050257481502851</v>
      </c>
      <c r="B227" s="2" t="e">
        <f t="shared" ca="1" si="11"/>
        <v>#N/A</v>
      </c>
      <c r="C227" s="1">
        <v>227</v>
      </c>
      <c r="D227" s="1" t="s">
        <v>481</v>
      </c>
      <c r="E227" s="1" t="s">
        <v>482</v>
      </c>
      <c r="Z227" s="6"/>
    </row>
    <row r="228" spans="1:26" ht="25">
      <c r="A228" s="2">
        <f ca="1">IF(COUNTIF($AA$1:$BXX$24,228) = 0,RAND(),RAND()-1)</f>
        <v>0.43717209949753577</v>
      </c>
      <c r="B228" s="2" t="e">
        <f t="shared" ca="1" si="11"/>
        <v>#N/A</v>
      </c>
      <c r="C228" s="1">
        <v>228</v>
      </c>
      <c r="D228" s="1" t="s">
        <v>483</v>
      </c>
      <c r="E228" s="1" t="s">
        <v>484</v>
      </c>
    </row>
    <row r="229" spans="1:26" ht="27">
      <c r="A229" s="2">
        <f ca="1">IF(COUNTIF($AA$1:$BXX$24,229) = 0,RAND(),RAND()-1)</f>
        <v>0.46993263436924115</v>
      </c>
      <c r="B229" s="2" t="e">
        <f t="shared" ca="1" si="11"/>
        <v>#N/A</v>
      </c>
      <c r="C229" s="1">
        <v>229</v>
      </c>
      <c r="D229" s="1" t="s">
        <v>485</v>
      </c>
      <c r="E229" s="1" t="s">
        <v>486</v>
      </c>
      <c r="Z229" s="6"/>
    </row>
    <row r="230" spans="1:26" ht="25">
      <c r="A230" s="2">
        <f ca="1">IF(COUNTIF($AA$1:$BXX$24,230) = 0,RAND(),RAND()-1)</f>
        <v>0.49998993653124824</v>
      </c>
      <c r="B230" s="2" t="e">
        <f t="shared" ca="1" si="11"/>
        <v>#N/A</v>
      </c>
      <c r="C230" s="1">
        <v>230</v>
      </c>
      <c r="D230" s="1" t="s">
        <v>487</v>
      </c>
      <c r="E230" s="1" t="s">
        <v>488</v>
      </c>
    </row>
    <row r="231" spans="1:26" ht="27">
      <c r="A231" s="2">
        <f ca="1">IF(COUNTIF($AA$1:$BXX$24,231) = 0,RAND(),RAND()-1)</f>
        <v>4.4557010145160669E-2</v>
      </c>
      <c r="B231" s="2" t="e">
        <f t="shared" ca="1" si="11"/>
        <v>#N/A</v>
      </c>
      <c r="C231" s="1">
        <v>231</v>
      </c>
      <c r="D231" s="1" t="s">
        <v>489</v>
      </c>
      <c r="E231" s="1" t="s">
        <v>490</v>
      </c>
      <c r="Z231" s="6"/>
    </row>
    <row r="232" spans="1:26" ht="25">
      <c r="A232" s="2">
        <f ca="1">IF(COUNTIF($AA$1:$BXX$24,232) = 0,RAND(),RAND()-1)</f>
        <v>0.37443267761875576</v>
      </c>
      <c r="B232" s="2" t="e">
        <f t="shared" ca="1" si="11"/>
        <v>#N/A</v>
      </c>
      <c r="C232" s="1">
        <v>232</v>
      </c>
      <c r="D232" s="1" t="s">
        <v>491</v>
      </c>
      <c r="E232" s="1" t="s">
        <v>492</v>
      </c>
    </row>
    <row r="233" spans="1:26" ht="27">
      <c r="A233" s="2">
        <f ca="1">IF(COUNTIF($AA$1:$BXX$24,233) = 0,RAND(),RAND()-1)</f>
        <v>0.34922259437377945</v>
      </c>
      <c r="B233" s="2" t="e">
        <f t="shared" ca="1" si="11"/>
        <v>#N/A</v>
      </c>
      <c r="C233" s="1">
        <v>233</v>
      </c>
      <c r="D233" s="1" t="s">
        <v>493</v>
      </c>
      <c r="E233" s="1" t="s">
        <v>494</v>
      </c>
      <c r="Z233" s="6"/>
    </row>
    <row r="234" spans="1:26" ht="25">
      <c r="A234" s="2">
        <f ca="1">IF(COUNTIF($AA$1:$BXX$24,234) = 0,RAND(),RAND()-1)</f>
        <v>8.6146256082650807E-2</v>
      </c>
      <c r="B234" s="2" t="e">
        <f t="shared" ca="1" si="11"/>
        <v>#N/A</v>
      </c>
      <c r="C234" s="1">
        <v>234</v>
      </c>
      <c r="D234" s="1" t="s">
        <v>495</v>
      </c>
      <c r="E234" s="1" t="s">
        <v>496</v>
      </c>
    </row>
    <row r="235" spans="1:26" ht="27">
      <c r="A235" s="2">
        <f ca="1">IF(COUNTIF($AA$1:$BXX$24,235) = 0,RAND(),RAND()-1)</f>
        <v>0.13561035902968011</v>
      </c>
      <c r="B235" s="2" t="e">
        <f t="shared" ca="1" si="11"/>
        <v>#N/A</v>
      </c>
      <c r="C235" s="1">
        <v>235</v>
      </c>
      <c r="D235" s="1" t="s">
        <v>497</v>
      </c>
      <c r="E235" s="1" t="s">
        <v>498</v>
      </c>
      <c r="Z235" s="6"/>
    </row>
    <row r="236" spans="1:26" ht="25">
      <c r="A236" s="2">
        <f ca="1">IF(COUNTIF($AA$1:$BXX$24,236) = 0,RAND(),RAND()-1)</f>
        <v>0.27851505491252493</v>
      </c>
      <c r="B236" s="2" t="e">
        <f t="shared" ca="1" si="11"/>
        <v>#N/A</v>
      </c>
      <c r="C236" s="1">
        <v>236</v>
      </c>
      <c r="D236" s="1" t="s">
        <v>499</v>
      </c>
      <c r="E236" s="1" t="s">
        <v>500</v>
      </c>
    </row>
    <row r="237" spans="1:26" ht="27">
      <c r="A237" s="2">
        <f ca="1">IF(COUNTIF($AA$1:$BXX$24,237) = 0,RAND(),RAND()-1)</f>
        <v>0.80221631405207727</v>
      </c>
      <c r="B237" s="2" t="e">
        <f t="shared" ca="1" si="11"/>
        <v>#N/A</v>
      </c>
      <c r="C237" s="1">
        <v>237</v>
      </c>
      <c r="D237" s="1" t="s">
        <v>501</v>
      </c>
      <c r="E237" s="1" t="s">
        <v>502</v>
      </c>
      <c r="Z237" s="6"/>
    </row>
    <row r="238" spans="1:26" ht="25">
      <c r="A238" s="2">
        <f ca="1">IF(COUNTIF($AA$1:$BXX$24,238) = 0,RAND(),RAND()-1)</f>
        <v>0.20253767646648091</v>
      </c>
      <c r="B238" s="2" t="e">
        <f t="shared" ca="1" si="11"/>
        <v>#N/A</v>
      </c>
      <c r="C238" s="1">
        <v>238</v>
      </c>
      <c r="D238" s="1" t="s">
        <v>503</v>
      </c>
      <c r="E238" s="1" t="s">
        <v>504</v>
      </c>
    </row>
    <row r="239" spans="1:26" ht="27">
      <c r="A239" s="2">
        <f ca="1">IF(COUNTIF($AA$1:$BXX$24,239) = 0,RAND(),RAND()-1)</f>
        <v>0.27844051480135257</v>
      </c>
      <c r="B239" s="2" t="e">
        <f t="shared" ca="1" si="11"/>
        <v>#N/A</v>
      </c>
      <c r="C239" s="1">
        <v>239</v>
      </c>
      <c r="D239" s="1" t="s">
        <v>505</v>
      </c>
      <c r="E239" s="1" t="s">
        <v>506</v>
      </c>
      <c r="Z239" s="6"/>
    </row>
    <row r="240" spans="1:26" ht="25">
      <c r="A240" s="2">
        <f ca="1">IF(COUNTIF($AA$1:$BXX$24,240) = 0,RAND(),RAND()-1)</f>
        <v>0.1204599144879992</v>
      </c>
      <c r="B240" s="2" t="e">
        <f t="shared" ca="1" si="11"/>
        <v>#N/A</v>
      </c>
      <c r="C240" s="1">
        <v>240</v>
      </c>
      <c r="D240" s="1" t="s">
        <v>507</v>
      </c>
      <c r="E240" s="1" t="s">
        <v>508</v>
      </c>
    </row>
    <row r="241" spans="1:26" ht="27">
      <c r="A241" s="2">
        <f ca="1">IF(COUNTIF($AA$1:$BXX$24,241) = 0,RAND(),RAND()-1)</f>
        <v>0.47947303818884812</v>
      </c>
      <c r="B241" s="2" t="e">
        <f t="shared" ca="1" si="11"/>
        <v>#N/A</v>
      </c>
      <c r="C241" s="1">
        <v>241</v>
      </c>
      <c r="D241" s="1" t="s">
        <v>509</v>
      </c>
      <c r="E241" s="1" t="s">
        <v>510</v>
      </c>
      <c r="Z241" s="6"/>
    </row>
    <row r="242" spans="1:26" ht="25">
      <c r="A242" s="2">
        <f ca="1">IF(COUNTIF($AA$1:$BXX$24,242) = 0,RAND(),RAND()-1)</f>
        <v>0.90868797238685284</v>
      </c>
      <c r="B242" s="2" t="e">
        <f t="shared" ca="1" si="11"/>
        <v>#N/A</v>
      </c>
      <c r="C242" s="1">
        <v>242</v>
      </c>
      <c r="D242" s="1" t="s">
        <v>511</v>
      </c>
      <c r="E242" s="1" t="s">
        <v>512</v>
      </c>
    </row>
    <row r="243" spans="1:26" ht="27">
      <c r="A243" s="2">
        <f ca="1">IF(COUNTIF($AA$1:$BXX$24,243) = 0,RAND(),RAND()-1)</f>
        <v>0.62809249331626704</v>
      </c>
      <c r="B243" s="2" t="e">
        <f t="shared" ca="1" si="11"/>
        <v>#N/A</v>
      </c>
      <c r="C243" s="1">
        <v>243</v>
      </c>
      <c r="D243" s="1" t="s">
        <v>513</v>
      </c>
      <c r="E243" s="1" t="s">
        <v>514</v>
      </c>
      <c r="Z243" s="6"/>
    </row>
    <row r="244" spans="1:26" ht="25">
      <c r="A244" s="2">
        <f ca="1">IF(COUNTIF($AA$1:$BXX$24,244) = 0,RAND(),RAND()-1)</f>
        <v>0.33190489861695627</v>
      </c>
      <c r="B244" s="2" t="e">
        <f t="shared" ca="1" si="11"/>
        <v>#N/A</v>
      </c>
      <c r="C244" s="1">
        <v>244</v>
      </c>
      <c r="D244" s="1" t="s">
        <v>515</v>
      </c>
      <c r="E244" s="1" t="s">
        <v>516</v>
      </c>
    </row>
    <row r="245" spans="1:26" ht="27">
      <c r="A245" s="2">
        <f ca="1">IF(COUNTIF($AA$1:$BXX$24,245) = 0,RAND(),RAND()-1)</f>
        <v>0.90798238018337751</v>
      </c>
      <c r="B245" s="2" t="e">
        <f t="shared" ca="1" si="11"/>
        <v>#N/A</v>
      </c>
      <c r="C245" s="1">
        <v>245</v>
      </c>
      <c r="D245" s="1" t="s">
        <v>517</v>
      </c>
      <c r="E245" s="1" t="s">
        <v>518</v>
      </c>
      <c r="Z245" s="6"/>
    </row>
    <row r="246" spans="1:26" ht="25">
      <c r="A246" s="2">
        <f ca="1">IF(COUNTIF($AA$1:$BXX$24,246) = 0,RAND(),RAND()-1)</f>
        <v>0.14906142634073138</v>
      </c>
      <c r="B246" s="2" t="e">
        <f t="shared" ca="1" si="11"/>
        <v>#N/A</v>
      </c>
      <c r="C246" s="1">
        <v>246</v>
      </c>
      <c r="D246" s="1" t="s">
        <v>519</v>
      </c>
      <c r="E246" s="1" t="s">
        <v>520</v>
      </c>
    </row>
    <row r="247" spans="1:26" ht="27">
      <c r="A247" s="2">
        <f ca="1">IF(COUNTIF($AA$1:$BXX$24,247) = 0,RAND(),RAND()-1)</f>
        <v>0.98548528698408233</v>
      </c>
      <c r="B247" s="2" t="e">
        <f t="shared" ca="1" si="11"/>
        <v>#N/A</v>
      </c>
      <c r="C247" s="1">
        <v>247</v>
      </c>
      <c r="D247" s="1" t="s">
        <v>521</v>
      </c>
      <c r="E247" s="1" t="s">
        <v>522</v>
      </c>
      <c r="Z247" s="6"/>
    </row>
    <row r="248" spans="1:26" ht="25">
      <c r="A248" s="2">
        <f ca="1">IF(COUNTIF($AA$1:$BXX$24,248) = 0,RAND(),RAND()-1)</f>
        <v>0.79228227514970151</v>
      </c>
      <c r="B248" s="2" t="e">
        <f t="shared" ca="1" si="11"/>
        <v>#N/A</v>
      </c>
      <c r="C248" s="1">
        <v>248</v>
      </c>
      <c r="D248" s="1" t="s">
        <v>523</v>
      </c>
      <c r="E248" s="1" t="s">
        <v>524</v>
      </c>
    </row>
    <row r="249" spans="1:26" ht="27">
      <c r="A249" s="2">
        <f ca="1">IF(COUNTIF($AA$1:$BXX$24,249) = 0,RAND(),RAND()-1)</f>
        <v>0.47031783387280446</v>
      </c>
      <c r="B249" s="2" t="e">
        <f t="shared" ca="1" si="11"/>
        <v>#N/A</v>
      </c>
      <c r="C249" s="1">
        <v>249</v>
      </c>
      <c r="D249" s="1" t="s">
        <v>525</v>
      </c>
      <c r="E249" s="1" t="s">
        <v>526</v>
      </c>
      <c r="Z249" s="6"/>
    </row>
    <row r="250" spans="1:26" ht="25">
      <c r="A250" s="2">
        <f ca="1">IF(COUNTIF($AA$1:$BXX$24,250) = 0,RAND(),RAND()-1)</f>
        <v>2.0473813850640399E-2</v>
      </c>
      <c r="B250" s="2" t="e">
        <f t="shared" ca="1" si="11"/>
        <v>#N/A</v>
      </c>
      <c r="C250" s="1">
        <v>250</v>
      </c>
      <c r="D250" s="1" t="s">
        <v>527</v>
      </c>
      <c r="E250" s="1" t="s">
        <v>528</v>
      </c>
    </row>
    <row r="251" spans="1:26" ht="27">
      <c r="A251" s="2">
        <f ca="1">IF(COUNTIF($AA$1:$BXX$24,251) = 0,RAND(),RAND()-1)</f>
        <v>0.35268189558461782</v>
      </c>
      <c r="B251" s="2" t="e">
        <f t="shared" ca="1" si="11"/>
        <v>#N/A</v>
      </c>
      <c r="C251" s="1">
        <v>251</v>
      </c>
      <c r="D251" s="1" t="s">
        <v>529</v>
      </c>
      <c r="E251" s="1" t="s">
        <v>530</v>
      </c>
      <c r="Z251" s="6"/>
    </row>
    <row r="252" spans="1:26" ht="25">
      <c r="A252" s="2">
        <f ca="1">IF(COUNTIF($AA$1:$BXX$24,252) = 0,RAND(),RAND()-1)</f>
        <v>0.44479819879485893</v>
      </c>
      <c r="B252" s="2" t="e">
        <f t="shared" ca="1" si="11"/>
        <v>#N/A</v>
      </c>
      <c r="C252" s="1">
        <v>252</v>
      </c>
      <c r="D252" s="1" t="s">
        <v>531</v>
      </c>
      <c r="E252" s="1" t="s">
        <v>532</v>
      </c>
    </row>
    <row r="253" spans="1:26" ht="27">
      <c r="A253" s="2">
        <f ca="1">IF(COUNTIF($AA$1:$BXX$24,253) = 0,RAND(),RAND()-1)</f>
        <v>0.63505473538049295</v>
      </c>
      <c r="B253" s="2" t="e">
        <f t="shared" ca="1" si="11"/>
        <v>#N/A</v>
      </c>
      <c r="C253" s="1">
        <v>253</v>
      </c>
      <c r="D253" s="1" t="s">
        <v>533</v>
      </c>
      <c r="E253" s="1" t="s">
        <v>534</v>
      </c>
      <c r="Z253" s="6"/>
    </row>
    <row r="254" spans="1:26" ht="25">
      <c r="A254" s="2">
        <f ca="1">IF(COUNTIF($AA$1:$BXX$24,254) = 0,RAND(),RAND()-1)</f>
        <v>0.96001421215362137</v>
      </c>
      <c r="B254" s="2" t="e">
        <f t="shared" ca="1" si="11"/>
        <v>#N/A</v>
      </c>
      <c r="C254" s="1">
        <v>254</v>
      </c>
      <c r="D254" s="1" t="s">
        <v>535</v>
      </c>
      <c r="E254" s="1" t="s">
        <v>536</v>
      </c>
    </row>
    <row r="255" spans="1:26" ht="27">
      <c r="A255" s="2">
        <f ca="1">IF(COUNTIF($AA$1:$BXX$24,255) = 0,RAND(),RAND()-1)</f>
        <v>0.44625578700079294</v>
      </c>
      <c r="B255" s="2" t="e">
        <f t="shared" ca="1" si="11"/>
        <v>#N/A</v>
      </c>
      <c r="C255" s="1">
        <v>255</v>
      </c>
      <c r="D255" s="1" t="s">
        <v>537</v>
      </c>
      <c r="E255" s="1" t="s">
        <v>538</v>
      </c>
      <c r="Z255" s="6"/>
    </row>
    <row r="256" spans="1:26" ht="25">
      <c r="A256" s="2">
        <f ca="1">IF(COUNTIF($AA$1:$BXX$24,256) = 0,RAND(),RAND()-1)</f>
        <v>0.86637086052299317</v>
      </c>
      <c r="B256" s="2" t="e">
        <f t="shared" ca="1" si="11"/>
        <v>#N/A</v>
      </c>
      <c r="C256" s="1">
        <v>256</v>
      </c>
      <c r="D256" s="1" t="s">
        <v>539</v>
      </c>
      <c r="E256" s="1" t="s">
        <v>540</v>
      </c>
    </row>
    <row r="257" spans="1:26" ht="27">
      <c r="A257" s="2">
        <f ca="1">IF(COUNTIF($AA$1:$BXX$24,257) = 0,RAND(),RAND()-1)</f>
        <v>0.63162650488929417</v>
      </c>
      <c r="B257" s="2" t="e">
        <f t="shared" ref="B257:B320" ca="1" si="12">RANK(A257,OFFSET($A$1,$G$1-1,0,$G$2-$G$1+1))</f>
        <v>#N/A</v>
      </c>
      <c r="C257" s="1">
        <v>257</v>
      </c>
      <c r="D257" s="1" t="s">
        <v>541</v>
      </c>
      <c r="E257" s="1" t="s">
        <v>542</v>
      </c>
      <c r="Z257" s="6"/>
    </row>
    <row r="258" spans="1:26" ht="25">
      <c r="A258" s="2">
        <f ca="1">IF(COUNTIF($AA$1:$BXX$24,258) = 0,RAND(),RAND()-1)</f>
        <v>0.62120383309359106</v>
      </c>
      <c r="B258" s="2" t="e">
        <f t="shared" ca="1" si="12"/>
        <v>#N/A</v>
      </c>
      <c r="C258" s="1">
        <v>258</v>
      </c>
      <c r="D258" s="1" t="s">
        <v>543</v>
      </c>
      <c r="E258" s="1" t="s">
        <v>544</v>
      </c>
    </row>
    <row r="259" spans="1:26" ht="27">
      <c r="A259" s="2">
        <f ca="1">IF(COUNTIF($AA$1:$BXX$24,259) = 0,RAND(),RAND()-1)</f>
        <v>0.32529810898879774</v>
      </c>
      <c r="B259" s="2" t="e">
        <f t="shared" ca="1" si="12"/>
        <v>#N/A</v>
      </c>
      <c r="C259" s="1">
        <v>259</v>
      </c>
      <c r="D259" s="1" t="s">
        <v>545</v>
      </c>
      <c r="E259" s="1" t="s">
        <v>546</v>
      </c>
      <c r="Z259" s="6"/>
    </row>
    <row r="260" spans="1:26" ht="25">
      <c r="A260" s="2">
        <f ca="1">IF(COUNTIF($AA$1:$BXX$24,260) = 0,RAND(),RAND()-1)</f>
        <v>2.9719789324301416E-2</v>
      </c>
      <c r="B260" s="2" t="e">
        <f t="shared" ca="1" si="12"/>
        <v>#N/A</v>
      </c>
      <c r="C260" s="1">
        <v>260</v>
      </c>
      <c r="D260" s="1" t="s">
        <v>547</v>
      </c>
      <c r="E260" s="1" t="s">
        <v>548</v>
      </c>
    </row>
    <row r="261" spans="1:26" ht="27">
      <c r="A261" s="2">
        <f ca="1">IF(COUNTIF($AA$1:$BXX$24,261) = 0,RAND(),RAND()-1)</f>
        <v>0.23246649272051667</v>
      </c>
      <c r="B261" s="2" t="e">
        <f t="shared" ca="1" si="12"/>
        <v>#N/A</v>
      </c>
      <c r="C261" s="1">
        <v>261</v>
      </c>
      <c r="D261" s="1" t="s">
        <v>549</v>
      </c>
      <c r="E261" s="1" t="s">
        <v>550</v>
      </c>
      <c r="Z261" s="6"/>
    </row>
    <row r="262" spans="1:26" ht="25">
      <c r="A262" s="2">
        <f ca="1">IF(COUNTIF($AA$1:$BXX$24,262) = 0,RAND(),RAND()-1)</f>
        <v>0.52429033741066988</v>
      </c>
      <c r="B262" s="2" t="e">
        <f t="shared" ca="1" si="12"/>
        <v>#N/A</v>
      </c>
      <c r="C262" s="1">
        <v>262</v>
      </c>
      <c r="D262" s="1" t="s">
        <v>551</v>
      </c>
      <c r="E262" s="1" t="s">
        <v>552</v>
      </c>
    </row>
    <row r="263" spans="1:26" ht="27">
      <c r="A263" s="2">
        <f ca="1">IF(COUNTIF($AA$1:$BXX$24,263) = 0,RAND(),RAND()-1)</f>
        <v>0.82781007329507739</v>
      </c>
      <c r="B263" s="2" t="e">
        <f t="shared" ca="1" si="12"/>
        <v>#N/A</v>
      </c>
      <c r="C263" s="1">
        <v>263</v>
      </c>
      <c r="D263" s="1" t="s">
        <v>553</v>
      </c>
      <c r="E263" s="1" t="s">
        <v>554</v>
      </c>
      <c r="Z263" s="6"/>
    </row>
    <row r="264" spans="1:26" ht="25">
      <c r="A264" s="2">
        <f ca="1">IF(COUNTIF($AA$1:$BXX$24,264) = 0,RAND(),RAND()-1)</f>
        <v>0.71143761421269724</v>
      </c>
      <c r="B264" s="2" t="e">
        <f t="shared" ca="1" si="12"/>
        <v>#N/A</v>
      </c>
      <c r="C264" s="1">
        <v>264</v>
      </c>
      <c r="D264" s="1" t="s">
        <v>555</v>
      </c>
      <c r="E264" s="1" t="s">
        <v>556</v>
      </c>
    </row>
    <row r="265" spans="1:26" ht="27">
      <c r="A265" s="2">
        <f ca="1">IF(COUNTIF($AA$1:$BXX$24,265) = 0,RAND(),RAND()-1)</f>
        <v>9.4137331334596785E-2</v>
      </c>
      <c r="B265" s="2" t="e">
        <f t="shared" ca="1" si="12"/>
        <v>#N/A</v>
      </c>
      <c r="C265" s="1">
        <v>265</v>
      </c>
      <c r="D265" s="1" t="s">
        <v>557</v>
      </c>
      <c r="E265" s="1" t="s">
        <v>558</v>
      </c>
      <c r="Z265" s="6"/>
    </row>
    <row r="266" spans="1:26" ht="25">
      <c r="A266" s="2">
        <f ca="1">IF(COUNTIF($AA$1:$BXX$24,266) = 0,RAND(),RAND()-1)</f>
        <v>0.65240894310805997</v>
      </c>
      <c r="B266" s="2" t="e">
        <f t="shared" ca="1" si="12"/>
        <v>#N/A</v>
      </c>
      <c r="C266" s="1">
        <v>266</v>
      </c>
      <c r="D266" s="1" t="s">
        <v>559</v>
      </c>
      <c r="E266" s="1" t="s">
        <v>560</v>
      </c>
    </row>
    <row r="267" spans="1:26" ht="27">
      <c r="A267" s="2">
        <f ca="1">IF(COUNTIF($AA$1:$BXX$24,267) = 0,RAND(),RAND()-1)</f>
        <v>0.48918076249708597</v>
      </c>
      <c r="B267" s="2" t="e">
        <f t="shared" ca="1" si="12"/>
        <v>#N/A</v>
      </c>
      <c r="C267" s="1">
        <v>267</v>
      </c>
      <c r="D267" s="1" t="s">
        <v>561</v>
      </c>
      <c r="E267" s="1" t="s">
        <v>562</v>
      </c>
      <c r="Z267" s="6"/>
    </row>
    <row r="268" spans="1:26" ht="25">
      <c r="A268" s="2">
        <f ca="1">IF(COUNTIF($AA$1:$BXX$24,268) = 0,RAND(),RAND()-1)</f>
        <v>0.1167255102681235</v>
      </c>
      <c r="B268" s="2" t="e">
        <f t="shared" ca="1" si="12"/>
        <v>#N/A</v>
      </c>
      <c r="C268" s="1">
        <v>268</v>
      </c>
      <c r="D268" s="1" t="s">
        <v>563</v>
      </c>
      <c r="E268" s="1" t="s">
        <v>564</v>
      </c>
    </row>
    <row r="269" spans="1:26" ht="27">
      <c r="A269" s="2">
        <f ca="1">IF(COUNTIF($AA$1:$BXX$24,269) = 0,RAND(),RAND()-1)</f>
        <v>2.4012305299128012E-2</v>
      </c>
      <c r="B269" s="2" t="e">
        <f t="shared" ca="1" si="12"/>
        <v>#N/A</v>
      </c>
      <c r="C269" s="1">
        <v>269</v>
      </c>
      <c r="D269" s="1" t="s">
        <v>565</v>
      </c>
      <c r="E269" s="1" t="s">
        <v>566</v>
      </c>
      <c r="Z269" s="6"/>
    </row>
    <row r="270" spans="1:26" ht="25">
      <c r="A270" s="2">
        <f ca="1">IF(COUNTIF($AA$1:$BXX$24,270) = 0,RAND(),RAND()-1)</f>
        <v>0.9515772363183449</v>
      </c>
      <c r="B270" s="2" t="e">
        <f t="shared" ca="1" si="12"/>
        <v>#N/A</v>
      </c>
      <c r="C270" s="1">
        <v>270</v>
      </c>
      <c r="D270" s="1" t="s">
        <v>567</v>
      </c>
      <c r="E270" s="1" t="s">
        <v>568</v>
      </c>
    </row>
    <row r="271" spans="1:26" ht="27">
      <c r="A271" s="2">
        <f ca="1">IF(COUNTIF($AA$1:$BXX$24,271) = 0,RAND(),RAND()-1)</f>
        <v>0.2812917607364912</v>
      </c>
      <c r="B271" s="2" t="e">
        <f t="shared" ca="1" si="12"/>
        <v>#N/A</v>
      </c>
      <c r="C271" s="1">
        <v>271</v>
      </c>
      <c r="D271" s="1" t="s">
        <v>569</v>
      </c>
      <c r="E271" s="1" t="s">
        <v>570</v>
      </c>
      <c r="Z271" s="6"/>
    </row>
    <row r="272" spans="1:26" ht="25">
      <c r="A272" s="2">
        <f ca="1">IF(COUNTIF($AA$1:$BXX$24,272) = 0,RAND(),RAND()-1)</f>
        <v>0.41109906103920535</v>
      </c>
      <c r="B272" s="2" t="e">
        <f t="shared" ca="1" si="12"/>
        <v>#N/A</v>
      </c>
      <c r="C272" s="1">
        <v>272</v>
      </c>
      <c r="D272" s="1" t="s">
        <v>571</v>
      </c>
      <c r="E272" s="1" t="s">
        <v>572</v>
      </c>
    </row>
    <row r="273" spans="1:26" ht="27">
      <c r="A273" s="2">
        <f ca="1">IF(COUNTIF($AA$1:$BXX$24,273) = 0,RAND(),RAND()-1)</f>
        <v>0.72749854691954774</v>
      </c>
      <c r="B273" s="2" t="e">
        <f t="shared" ca="1" si="12"/>
        <v>#N/A</v>
      </c>
      <c r="C273" s="1">
        <v>273</v>
      </c>
      <c r="D273" s="1" t="s">
        <v>573</v>
      </c>
      <c r="E273" s="1" t="s">
        <v>574</v>
      </c>
      <c r="Z273" s="6"/>
    </row>
    <row r="274" spans="1:26" ht="25">
      <c r="A274" s="2">
        <f ca="1">IF(COUNTIF($AA$1:$BXX$24,274) = 0,RAND(),RAND()-1)</f>
        <v>0.20681556731796835</v>
      </c>
      <c r="B274" s="2" t="e">
        <f t="shared" ca="1" si="12"/>
        <v>#N/A</v>
      </c>
      <c r="C274" s="1">
        <v>274</v>
      </c>
      <c r="D274" s="1" t="s">
        <v>575</v>
      </c>
      <c r="E274" s="1" t="s">
        <v>576</v>
      </c>
    </row>
    <row r="275" spans="1:26" ht="27">
      <c r="A275" s="2">
        <f ca="1">IF(COUNTIF($AA$1:$BXX$24,275) = 0,RAND(),RAND()-1)</f>
        <v>0.34065707093771969</v>
      </c>
      <c r="B275" s="2" t="e">
        <f t="shared" ca="1" si="12"/>
        <v>#N/A</v>
      </c>
      <c r="C275" s="1">
        <v>275</v>
      </c>
      <c r="D275" s="1" t="s">
        <v>577</v>
      </c>
      <c r="E275" s="1" t="s">
        <v>578</v>
      </c>
      <c r="Z275" s="6"/>
    </row>
    <row r="276" spans="1:26" ht="25">
      <c r="A276" s="2">
        <f ca="1">IF(COUNTIF($AA$1:$BXX$24,276) = 0,RAND(),RAND()-1)</f>
        <v>0.5556065794023568</v>
      </c>
      <c r="B276" s="2" t="e">
        <f t="shared" ca="1" si="12"/>
        <v>#N/A</v>
      </c>
      <c r="C276" s="1">
        <v>276</v>
      </c>
      <c r="D276" s="1" t="s">
        <v>579</v>
      </c>
      <c r="E276" s="1" t="s">
        <v>580</v>
      </c>
    </row>
    <row r="277" spans="1:26" ht="27">
      <c r="A277" s="2">
        <f ca="1">IF(COUNTIF($AA$1:$BXX$24,277) = 0,RAND(),RAND()-1)</f>
        <v>0.49971591934258552</v>
      </c>
      <c r="B277" s="2" t="e">
        <f t="shared" ca="1" si="12"/>
        <v>#N/A</v>
      </c>
      <c r="C277" s="1">
        <v>277</v>
      </c>
      <c r="D277" s="1" t="s">
        <v>581</v>
      </c>
      <c r="E277" s="1" t="s">
        <v>582</v>
      </c>
      <c r="Z277" s="6"/>
    </row>
    <row r="278" spans="1:26" ht="25">
      <c r="A278" s="2">
        <f ca="1">IF(COUNTIF($AA$1:$BXX$24,278) = 0,RAND(),RAND()-1)</f>
        <v>0.45730025126220686</v>
      </c>
      <c r="B278" s="2" t="e">
        <f t="shared" ca="1" si="12"/>
        <v>#N/A</v>
      </c>
      <c r="C278" s="1">
        <v>278</v>
      </c>
      <c r="D278" s="1" t="s">
        <v>583</v>
      </c>
      <c r="E278" s="1" t="s">
        <v>584</v>
      </c>
    </row>
    <row r="279" spans="1:26" ht="27">
      <c r="A279" s="2">
        <f ca="1">IF(COUNTIF($AA$1:$BXX$24,279) = 0,RAND(),RAND()-1)</f>
        <v>0.82992315895405655</v>
      </c>
      <c r="B279" s="2" t="e">
        <f t="shared" ca="1" si="12"/>
        <v>#N/A</v>
      </c>
      <c r="C279" s="1">
        <v>279</v>
      </c>
      <c r="D279" s="1" t="s">
        <v>585</v>
      </c>
      <c r="E279" s="1" t="s">
        <v>586</v>
      </c>
      <c r="Z279" s="6"/>
    </row>
    <row r="280" spans="1:26" ht="25">
      <c r="A280" s="2">
        <f ca="1">IF(COUNTIF($AA$1:$BXX$24,280) = 0,RAND(),RAND()-1)</f>
        <v>0.63114694398092008</v>
      </c>
      <c r="B280" s="2" t="e">
        <f t="shared" ca="1" si="12"/>
        <v>#N/A</v>
      </c>
      <c r="C280" s="1">
        <v>280</v>
      </c>
      <c r="D280" s="1" t="s">
        <v>587</v>
      </c>
      <c r="E280" s="1" t="s">
        <v>588</v>
      </c>
    </row>
    <row r="281" spans="1:26" ht="27">
      <c r="A281" s="2">
        <f ca="1">IF(COUNTIF($AA$1:$BXX$24,281) = 0,RAND(),RAND()-1)</f>
        <v>6.6477333401274041E-2</v>
      </c>
      <c r="B281" s="2" t="e">
        <f t="shared" ca="1" si="12"/>
        <v>#N/A</v>
      </c>
      <c r="C281" s="1">
        <v>281</v>
      </c>
      <c r="D281" s="1" t="s">
        <v>589</v>
      </c>
      <c r="E281" s="1" t="s">
        <v>590</v>
      </c>
      <c r="Z281" s="6"/>
    </row>
    <row r="282" spans="1:26" ht="25">
      <c r="A282" s="2">
        <f ca="1">IF(COUNTIF($AA$1:$BXX$24,282) = 0,RAND(),RAND()-1)</f>
        <v>0.80464397859053438</v>
      </c>
      <c r="B282" s="2" t="e">
        <f t="shared" ca="1" si="12"/>
        <v>#N/A</v>
      </c>
      <c r="C282" s="1">
        <v>282</v>
      </c>
      <c r="D282" s="1" t="s">
        <v>591</v>
      </c>
      <c r="E282" s="1" t="s">
        <v>592</v>
      </c>
    </row>
    <row r="283" spans="1:26" ht="27">
      <c r="A283" s="2">
        <f ca="1">IF(COUNTIF($AA$1:$BXX$24,283) = 0,RAND(),RAND()-1)</f>
        <v>0.70247969203943705</v>
      </c>
      <c r="B283" s="2" t="e">
        <f t="shared" ca="1" si="12"/>
        <v>#N/A</v>
      </c>
      <c r="C283" s="1">
        <v>283</v>
      </c>
      <c r="D283" s="1" t="s">
        <v>593</v>
      </c>
      <c r="E283" s="1" t="s">
        <v>594</v>
      </c>
      <c r="Z283" s="6"/>
    </row>
    <row r="284" spans="1:26" ht="25">
      <c r="A284" s="2">
        <f ca="1">IF(COUNTIF($AA$1:$BXX$24,284) = 0,RAND(),RAND()-1)</f>
        <v>4.3114519051543065E-2</v>
      </c>
      <c r="B284" s="2" t="e">
        <f t="shared" ca="1" si="12"/>
        <v>#N/A</v>
      </c>
      <c r="C284" s="1">
        <v>284</v>
      </c>
      <c r="D284" s="1" t="s">
        <v>595</v>
      </c>
      <c r="E284" s="1" t="s">
        <v>590</v>
      </c>
    </row>
    <row r="285" spans="1:26" ht="27">
      <c r="A285" s="2">
        <f ca="1">IF(COUNTIF($AA$1:$BXX$24,285) = 0,RAND(),RAND()-1)</f>
        <v>0.47758611605323587</v>
      </c>
      <c r="B285" s="2" t="e">
        <f t="shared" ca="1" si="12"/>
        <v>#N/A</v>
      </c>
      <c r="C285" s="1">
        <v>285</v>
      </c>
      <c r="D285" s="1" t="s">
        <v>596</v>
      </c>
      <c r="E285" s="1" t="s">
        <v>597</v>
      </c>
      <c r="Z285" s="6"/>
    </row>
    <row r="286" spans="1:26" ht="25">
      <c r="A286" s="2">
        <f ca="1">IF(COUNTIF($AA$1:$BXX$24,286) = 0,RAND(),RAND()-1)</f>
        <v>0.36160487192983315</v>
      </c>
      <c r="B286" s="2" t="e">
        <f t="shared" ca="1" si="12"/>
        <v>#N/A</v>
      </c>
      <c r="C286" s="1">
        <v>286</v>
      </c>
      <c r="D286" s="1" t="s">
        <v>598</v>
      </c>
      <c r="E286" s="1" t="s">
        <v>599</v>
      </c>
    </row>
    <row r="287" spans="1:26" ht="27">
      <c r="A287" s="2">
        <f ca="1">IF(COUNTIF($AA$1:$BXX$24,287) = 0,RAND(),RAND()-1)</f>
        <v>0.1604096430066686</v>
      </c>
      <c r="B287" s="2" t="e">
        <f t="shared" ca="1" si="12"/>
        <v>#N/A</v>
      </c>
      <c r="C287" s="1">
        <v>287</v>
      </c>
      <c r="D287" s="1" t="s">
        <v>600</v>
      </c>
      <c r="E287" s="1" t="s">
        <v>601</v>
      </c>
      <c r="Z287" s="6"/>
    </row>
    <row r="288" spans="1:26" ht="25">
      <c r="A288" s="2">
        <f ca="1">IF(COUNTIF($AA$1:$BXX$24,288) = 0,RAND(),RAND()-1)</f>
        <v>7.4753964294197228E-2</v>
      </c>
      <c r="B288" s="2" t="e">
        <f t="shared" ca="1" si="12"/>
        <v>#N/A</v>
      </c>
      <c r="C288" s="1">
        <v>288</v>
      </c>
      <c r="D288" s="1" t="s">
        <v>602</v>
      </c>
      <c r="E288" s="1" t="s">
        <v>603</v>
      </c>
    </row>
    <row r="289" spans="1:26" ht="27">
      <c r="A289" s="2">
        <f ca="1">IF(COUNTIF($AA$1:$BXX$24,289) = 0,RAND(),RAND()-1)</f>
        <v>0.37750150298214713</v>
      </c>
      <c r="B289" s="2" t="e">
        <f t="shared" ca="1" si="12"/>
        <v>#N/A</v>
      </c>
      <c r="C289" s="1">
        <v>289</v>
      </c>
      <c r="D289" s="1" t="s">
        <v>604</v>
      </c>
      <c r="E289" s="1" t="s">
        <v>605</v>
      </c>
      <c r="Z289" s="6"/>
    </row>
    <row r="290" spans="1:26" ht="25">
      <c r="A290" s="2">
        <f ca="1">IF(COUNTIF($AA$1:$BXX$24,290) = 0,RAND(),RAND()-1)</f>
        <v>0.92966789434304287</v>
      </c>
      <c r="B290" s="2" t="e">
        <f t="shared" ca="1" si="12"/>
        <v>#N/A</v>
      </c>
      <c r="C290" s="1">
        <v>290</v>
      </c>
      <c r="D290" s="1" t="s">
        <v>606</v>
      </c>
      <c r="E290" s="1" t="s">
        <v>607</v>
      </c>
    </row>
    <row r="291" spans="1:26" ht="27">
      <c r="A291" s="2">
        <f ca="1">IF(COUNTIF($AA$1:$BXX$24,291) = 0,RAND(),RAND()-1)</f>
        <v>0.79203017275523291</v>
      </c>
      <c r="B291" s="2" t="e">
        <f t="shared" ca="1" si="12"/>
        <v>#N/A</v>
      </c>
      <c r="C291" s="1">
        <v>291</v>
      </c>
      <c r="D291" s="1" t="s">
        <v>608</v>
      </c>
      <c r="E291" s="1" t="s">
        <v>609</v>
      </c>
      <c r="Z291" s="6"/>
    </row>
    <row r="292" spans="1:26" ht="25">
      <c r="A292" s="2">
        <f ca="1">IF(COUNTIF($AA$1:$BXX$24,292) = 0,RAND(),RAND()-1)</f>
        <v>0.26560230187275502</v>
      </c>
      <c r="B292" s="2" t="e">
        <f t="shared" ca="1" si="12"/>
        <v>#N/A</v>
      </c>
      <c r="C292" s="1">
        <v>292</v>
      </c>
      <c r="D292" s="1" t="s">
        <v>610</v>
      </c>
      <c r="E292" s="1" t="s">
        <v>611</v>
      </c>
    </row>
    <row r="293" spans="1:26" ht="25">
      <c r="A293" s="2">
        <f ca="1">IF(COUNTIF($AA$1:$BXX$24,293) = 0,RAND(),RAND()-1)</f>
        <v>0.67842415906900111</v>
      </c>
      <c r="B293" s="2" t="e">
        <f t="shared" ca="1" si="12"/>
        <v>#N/A</v>
      </c>
      <c r="C293" s="1">
        <v>293</v>
      </c>
      <c r="D293" s="1" t="s">
        <v>612</v>
      </c>
      <c r="E293" s="1" t="s">
        <v>613</v>
      </c>
    </row>
    <row r="294" spans="1:26" ht="25">
      <c r="A294" s="2">
        <f ca="1">IF(COUNTIF($AA$1:$BXX$24,294) = 0,RAND(),RAND()-1)</f>
        <v>0.23275190163574311</v>
      </c>
      <c r="B294" s="2" t="e">
        <f t="shared" ca="1" si="12"/>
        <v>#N/A</v>
      </c>
      <c r="C294" s="1">
        <v>294</v>
      </c>
      <c r="D294" s="1" t="s">
        <v>614</v>
      </c>
      <c r="E294" s="1" t="s">
        <v>615</v>
      </c>
    </row>
    <row r="295" spans="1:26" ht="25">
      <c r="A295" s="2">
        <f ca="1">IF(COUNTIF($AA$1:$BXX$24,295) = 0,RAND(),RAND()-1)</f>
        <v>0.49508887054546302</v>
      </c>
      <c r="B295" s="2" t="e">
        <f t="shared" ca="1" si="12"/>
        <v>#N/A</v>
      </c>
      <c r="C295" s="1">
        <v>295</v>
      </c>
      <c r="D295" s="1" t="s">
        <v>616</v>
      </c>
      <c r="E295" s="1" t="s">
        <v>617</v>
      </c>
    </row>
    <row r="296" spans="1:26" ht="25">
      <c r="A296" s="2">
        <f ca="1">IF(COUNTIF($AA$1:$BXX$24,296) = 0,RAND(),RAND()-1)</f>
        <v>0.86613660836756257</v>
      </c>
      <c r="B296" s="2" t="e">
        <f t="shared" ca="1" si="12"/>
        <v>#N/A</v>
      </c>
      <c r="C296" s="1">
        <v>296</v>
      </c>
      <c r="D296" s="1" t="s">
        <v>618</v>
      </c>
      <c r="E296" s="1" t="s">
        <v>619</v>
      </c>
    </row>
    <row r="297" spans="1:26" ht="25">
      <c r="A297" s="2">
        <f ca="1">IF(COUNTIF($AA$1:$BXX$24,297) = 0,RAND(),RAND()-1)</f>
        <v>0.70382145482386116</v>
      </c>
      <c r="B297" s="2" t="e">
        <f t="shared" ca="1" si="12"/>
        <v>#N/A</v>
      </c>
      <c r="C297" s="1">
        <v>297</v>
      </c>
      <c r="D297" s="1" t="s">
        <v>620</v>
      </c>
      <c r="E297" s="1" t="s">
        <v>621</v>
      </c>
    </row>
    <row r="298" spans="1:26" ht="25">
      <c r="A298" s="2">
        <f ca="1">IF(COUNTIF($AA$1:$BXX$24,298) = 0,RAND(),RAND()-1)</f>
        <v>0.2568178342021108</v>
      </c>
      <c r="B298" s="2" t="e">
        <f t="shared" ca="1" si="12"/>
        <v>#N/A</v>
      </c>
      <c r="C298" s="1">
        <v>298</v>
      </c>
      <c r="D298" s="1" t="s">
        <v>622</v>
      </c>
      <c r="E298" s="1" t="s">
        <v>623</v>
      </c>
    </row>
    <row r="299" spans="1:26" ht="25">
      <c r="A299" s="2">
        <f ca="1">IF(COUNTIF($AA$1:$BXX$24,299) = 0,RAND(),RAND()-1)</f>
        <v>0.19204903114968397</v>
      </c>
      <c r="B299" s="2" t="e">
        <f t="shared" ca="1" si="12"/>
        <v>#N/A</v>
      </c>
      <c r="C299" s="1">
        <v>299</v>
      </c>
      <c r="D299" s="1" t="s">
        <v>624</v>
      </c>
      <c r="E299" s="1" t="s">
        <v>562</v>
      </c>
    </row>
    <row r="300" spans="1:26" ht="25">
      <c r="A300" s="2">
        <f ca="1">IF(COUNTIF($AA$1:$BXX$24,300) = 0,RAND(),RAND()-1)</f>
        <v>0.51098634064752158</v>
      </c>
      <c r="B300" s="2" t="e">
        <f t="shared" ca="1" si="12"/>
        <v>#N/A</v>
      </c>
      <c r="C300" s="1">
        <v>300</v>
      </c>
      <c r="D300" s="1" t="s">
        <v>625</v>
      </c>
      <c r="E300" s="1" t="s">
        <v>626</v>
      </c>
    </row>
    <row r="301" spans="1:26" ht="25">
      <c r="A301" s="2">
        <f ca="1">IF(COUNTIF($AA$1:$BXX$24,301) = 0,RAND(),RAND()-1)</f>
        <v>0.48862806964215855</v>
      </c>
      <c r="B301" s="2" t="e">
        <f t="shared" ca="1" si="12"/>
        <v>#N/A</v>
      </c>
      <c r="C301" s="1">
        <v>301</v>
      </c>
      <c r="D301" s="1" t="s">
        <v>627</v>
      </c>
      <c r="E301" s="1" t="s">
        <v>628</v>
      </c>
    </row>
    <row r="302" spans="1:26" ht="25">
      <c r="A302" s="2">
        <f ca="1">IF(COUNTIF($AA$1:$BXX$24,302) = 0,RAND(),RAND()-1)</f>
        <v>0.33269393302008088</v>
      </c>
      <c r="B302" s="2" t="e">
        <f t="shared" ca="1" si="12"/>
        <v>#N/A</v>
      </c>
      <c r="C302" s="1">
        <v>302</v>
      </c>
      <c r="D302" s="1" t="s">
        <v>629</v>
      </c>
      <c r="E302" s="1" t="s">
        <v>630</v>
      </c>
    </row>
    <row r="303" spans="1:26" ht="25">
      <c r="A303" s="2">
        <f ca="1">IF(COUNTIF($AA$1:$BXX$24,303) = 0,RAND(),RAND()-1)</f>
        <v>0.8663488580841423</v>
      </c>
      <c r="B303" s="2" t="e">
        <f t="shared" ca="1" si="12"/>
        <v>#N/A</v>
      </c>
      <c r="C303" s="1">
        <v>303</v>
      </c>
      <c r="D303" s="1" t="s">
        <v>631</v>
      </c>
      <c r="E303" s="1" t="s">
        <v>632</v>
      </c>
    </row>
    <row r="304" spans="1:26" ht="25">
      <c r="A304" s="2">
        <f ca="1">IF(COUNTIF($AA$1:$BXX$24,304) = 0,RAND(),RAND()-1)</f>
        <v>0.3287758347881663</v>
      </c>
      <c r="B304" s="2" t="e">
        <f t="shared" ca="1" si="12"/>
        <v>#N/A</v>
      </c>
      <c r="C304" s="1">
        <v>304</v>
      </c>
      <c r="D304" s="1" t="s">
        <v>633</v>
      </c>
      <c r="E304" s="1" t="s">
        <v>634</v>
      </c>
    </row>
    <row r="305" spans="1:5" ht="25">
      <c r="A305" s="2">
        <f ca="1">IF(COUNTIF($AA$1:$BXX$24,305) = 0,RAND(),RAND()-1)</f>
        <v>4.0886768735897694E-2</v>
      </c>
      <c r="B305" s="2" t="e">
        <f t="shared" ca="1" si="12"/>
        <v>#N/A</v>
      </c>
      <c r="C305" s="1">
        <v>305</v>
      </c>
      <c r="D305" s="1" t="s">
        <v>635</v>
      </c>
      <c r="E305" s="1" t="s">
        <v>636</v>
      </c>
    </row>
    <row r="306" spans="1:5" ht="25">
      <c r="A306" s="2">
        <f ca="1">IF(COUNTIF($AA$1:$BXX$24,306) = 0,RAND(),RAND()-1)</f>
        <v>0.78404934008598892</v>
      </c>
      <c r="B306" s="2" t="e">
        <f t="shared" ca="1" si="12"/>
        <v>#N/A</v>
      </c>
      <c r="C306" s="1">
        <v>306</v>
      </c>
      <c r="D306" s="1" t="s">
        <v>637</v>
      </c>
      <c r="E306" s="1" t="s">
        <v>638</v>
      </c>
    </row>
    <row r="307" spans="1:5" ht="25">
      <c r="A307" s="2">
        <f ca="1">IF(COUNTIF($AA$1:$BXX$24,307) = 0,RAND(),RAND()-1)</f>
        <v>0.28184104769292095</v>
      </c>
      <c r="B307" s="2" t="e">
        <f t="shared" ca="1" si="12"/>
        <v>#N/A</v>
      </c>
      <c r="C307" s="1">
        <v>307</v>
      </c>
      <c r="D307" s="1" t="s">
        <v>639</v>
      </c>
      <c r="E307" s="1" t="s">
        <v>640</v>
      </c>
    </row>
    <row r="308" spans="1:5" ht="25">
      <c r="A308" s="2">
        <f ca="1">IF(COUNTIF($AA$1:$BXX$24,308) = 0,RAND(),RAND()-1)</f>
        <v>0.3087393097492328</v>
      </c>
      <c r="B308" s="2" t="e">
        <f t="shared" ca="1" si="12"/>
        <v>#N/A</v>
      </c>
      <c r="C308" s="1">
        <v>308</v>
      </c>
      <c r="D308" s="1" t="s">
        <v>641</v>
      </c>
      <c r="E308" s="1" t="s">
        <v>642</v>
      </c>
    </row>
    <row r="309" spans="1:5" ht="25">
      <c r="A309" s="2">
        <f ca="1">IF(COUNTIF($AA$1:$BXX$24,309) = 0,RAND(),RAND()-1)</f>
        <v>0.32947541219344922</v>
      </c>
      <c r="B309" s="2" t="e">
        <f t="shared" ca="1" si="12"/>
        <v>#N/A</v>
      </c>
      <c r="C309" s="1">
        <v>309</v>
      </c>
      <c r="D309" s="1" t="s">
        <v>643</v>
      </c>
      <c r="E309" s="1" t="s">
        <v>644</v>
      </c>
    </row>
    <row r="310" spans="1:5" ht="25">
      <c r="A310" s="2">
        <f ca="1">IF(COUNTIF($AA$1:$BXX$24,310) = 0,RAND(),RAND()-1)</f>
        <v>0.20435432372626361</v>
      </c>
      <c r="B310" s="2" t="e">
        <f t="shared" ca="1" si="12"/>
        <v>#N/A</v>
      </c>
      <c r="C310" s="1">
        <v>310</v>
      </c>
      <c r="D310" s="1" t="s">
        <v>645</v>
      </c>
      <c r="E310" s="1" t="s">
        <v>646</v>
      </c>
    </row>
    <row r="311" spans="1:5" ht="25">
      <c r="A311" s="2">
        <f ca="1">IF(COUNTIF($AA$1:$BXX$24,311) = 0,RAND(),RAND()-1)</f>
        <v>4.3140459934301267E-2</v>
      </c>
      <c r="B311" s="2" t="e">
        <f t="shared" ca="1" si="12"/>
        <v>#N/A</v>
      </c>
      <c r="C311" s="1">
        <v>311</v>
      </c>
      <c r="D311" s="1" t="s">
        <v>647</v>
      </c>
      <c r="E311" s="1" t="s">
        <v>648</v>
      </c>
    </row>
    <row r="312" spans="1:5" ht="25">
      <c r="A312" s="2">
        <f ca="1">IF(COUNTIF($AA$1:$BXX$24,312) = 0,RAND(),RAND()-1)</f>
        <v>0.99683490045643874</v>
      </c>
      <c r="B312" s="2" t="e">
        <f t="shared" ca="1" si="12"/>
        <v>#N/A</v>
      </c>
      <c r="C312" s="1">
        <v>312</v>
      </c>
      <c r="D312" s="1" t="s">
        <v>649</v>
      </c>
      <c r="E312" s="1" t="s">
        <v>650</v>
      </c>
    </row>
    <row r="313" spans="1:5" ht="25">
      <c r="A313" s="2">
        <f ca="1">IF(COUNTIF($AA$1:$BXX$24,313) = 0,RAND(),RAND()-1)</f>
        <v>0.57444456150421697</v>
      </c>
      <c r="B313" s="2" t="e">
        <f t="shared" ca="1" si="12"/>
        <v>#N/A</v>
      </c>
      <c r="C313" s="1">
        <v>313</v>
      </c>
      <c r="D313" s="1" t="s">
        <v>651</v>
      </c>
      <c r="E313" s="1" t="s">
        <v>652</v>
      </c>
    </row>
    <row r="314" spans="1:5" ht="25">
      <c r="A314" s="2">
        <f ca="1">IF(COUNTIF($AA$1:$BXX$24,314) = 0,RAND(),RAND()-1)</f>
        <v>0.67735854489927605</v>
      </c>
      <c r="B314" s="2" t="e">
        <f t="shared" ca="1" si="12"/>
        <v>#N/A</v>
      </c>
      <c r="C314" s="1">
        <v>314</v>
      </c>
      <c r="D314" s="1" t="s">
        <v>653</v>
      </c>
      <c r="E314" s="1" t="s">
        <v>654</v>
      </c>
    </row>
    <row r="315" spans="1:5" ht="25">
      <c r="A315" s="2">
        <f ca="1">IF(COUNTIF($AA$1:$BXX$24,315) = 0,RAND(),RAND()-1)</f>
        <v>0.62002654233858856</v>
      </c>
      <c r="B315" s="2" t="e">
        <f t="shared" ca="1" si="12"/>
        <v>#N/A</v>
      </c>
      <c r="C315" s="1">
        <v>315</v>
      </c>
      <c r="D315" s="1" t="s">
        <v>655</v>
      </c>
      <c r="E315" s="1" t="s">
        <v>656</v>
      </c>
    </row>
    <row r="316" spans="1:5" ht="25">
      <c r="A316" s="2">
        <f ca="1">IF(COUNTIF($AA$1:$BXX$24,316) = 0,RAND(),RAND()-1)</f>
        <v>0.22612788814674467</v>
      </c>
      <c r="B316" s="2" t="e">
        <f t="shared" ca="1" si="12"/>
        <v>#N/A</v>
      </c>
      <c r="C316" s="1">
        <v>316</v>
      </c>
      <c r="D316" s="1" t="s">
        <v>657</v>
      </c>
      <c r="E316" s="1" t="s">
        <v>658</v>
      </c>
    </row>
    <row r="317" spans="1:5" ht="25">
      <c r="A317" s="2">
        <f ca="1">IF(COUNTIF($AA$1:$BXX$24,317) = 0,RAND(),RAND()-1)</f>
        <v>0.17930887306115095</v>
      </c>
      <c r="B317" s="2" t="e">
        <f t="shared" ca="1" si="12"/>
        <v>#N/A</v>
      </c>
      <c r="C317" s="1">
        <v>317</v>
      </c>
      <c r="D317" s="1" t="s">
        <v>659</v>
      </c>
      <c r="E317" s="1" t="s">
        <v>660</v>
      </c>
    </row>
    <row r="318" spans="1:5" ht="25">
      <c r="A318" s="2">
        <f ca="1">IF(COUNTIF($AA$1:$BXX$24,318) = 0,RAND(),RAND()-1)</f>
        <v>0.27409416719896795</v>
      </c>
      <c r="B318" s="2" t="e">
        <f t="shared" ca="1" si="12"/>
        <v>#N/A</v>
      </c>
      <c r="C318" s="1">
        <v>318</v>
      </c>
      <c r="D318" s="1" t="s">
        <v>661</v>
      </c>
      <c r="E318" s="1" t="s">
        <v>662</v>
      </c>
    </row>
    <row r="319" spans="1:5" ht="25">
      <c r="A319" s="2">
        <f ca="1">IF(COUNTIF($AA$1:$BXX$24,319) = 0,RAND(),RAND()-1)</f>
        <v>8.6552357446523009E-2</v>
      </c>
      <c r="B319" s="2" t="e">
        <f t="shared" ca="1" si="12"/>
        <v>#N/A</v>
      </c>
      <c r="C319" s="1">
        <v>319</v>
      </c>
      <c r="D319" s="1" t="s">
        <v>663</v>
      </c>
      <c r="E319" s="1" t="s">
        <v>664</v>
      </c>
    </row>
    <row r="320" spans="1:5" ht="25">
      <c r="A320" s="2">
        <f ca="1">IF(COUNTIF($AA$1:$BXX$24,320) = 0,RAND(),RAND()-1)</f>
        <v>0.25830163692532848</v>
      </c>
      <c r="B320" s="2" t="e">
        <f t="shared" ca="1" si="12"/>
        <v>#N/A</v>
      </c>
      <c r="C320" s="1">
        <v>320</v>
      </c>
      <c r="D320" s="1" t="s">
        <v>665</v>
      </c>
      <c r="E320" s="1" t="s">
        <v>666</v>
      </c>
    </row>
    <row r="321" spans="1:5" ht="25">
      <c r="A321" s="2">
        <f ca="1">IF(COUNTIF($AA$1:$BXX$24,321) = 0,RAND(),RAND()-1)</f>
        <v>0.45614387039934867</v>
      </c>
      <c r="B321" s="2" t="e">
        <f t="shared" ref="B321:B384" ca="1" si="13">RANK(A321,OFFSET($A$1,$G$1-1,0,$G$2-$G$1+1))</f>
        <v>#N/A</v>
      </c>
      <c r="C321" s="1">
        <v>321</v>
      </c>
      <c r="D321" s="1" t="s">
        <v>667</v>
      </c>
      <c r="E321" s="1" t="s">
        <v>668</v>
      </c>
    </row>
    <row r="322" spans="1:5" ht="25">
      <c r="A322" s="2">
        <f ca="1">IF(COUNTIF($AA$1:$BXX$24,322) = 0,RAND(),RAND()-1)</f>
        <v>9.5820072635786624E-2</v>
      </c>
      <c r="B322" s="2" t="e">
        <f t="shared" ca="1" si="13"/>
        <v>#N/A</v>
      </c>
      <c r="C322" s="1">
        <v>322</v>
      </c>
      <c r="D322" s="1" t="s">
        <v>669</v>
      </c>
      <c r="E322" s="1" t="s">
        <v>670</v>
      </c>
    </row>
    <row r="323" spans="1:5" ht="25">
      <c r="A323" s="2">
        <f ca="1">IF(COUNTIF($AA$1:$BXX$24,323) = 0,RAND(),RAND()-1)</f>
        <v>0.90171620661728347</v>
      </c>
      <c r="B323" s="2" t="e">
        <f t="shared" ca="1" si="13"/>
        <v>#N/A</v>
      </c>
      <c r="C323" s="1">
        <v>323</v>
      </c>
      <c r="D323" s="1" t="s">
        <v>671</v>
      </c>
      <c r="E323" s="1" t="s">
        <v>672</v>
      </c>
    </row>
    <row r="324" spans="1:5" ht="25">
      <c r="A324" s="2">
        <f ca="1">IF(COUNTIF($AA$1:$BXX$24,324) = 0,RAND(),RAND()-1)</f>
        <v>0.7005069194045549</v>
      </c>
      <c r="B324" s="2" t="e">
        <f t="shared" ca="1" si="13"/>
        <v>#N/A</v>
      </c>
      <c r="C324" s="1">
        <v>324</v>
      </c>
      <c r="D324" s="1" t="s">
        <v>673</v>
      </c>
      <c r="E324" s="1" t="s">
        <v>674</v>
      </c>
    </row>
    <row r="325" spans="1:5" ht="25">
      <c r="A325" s="2">
        <f ca="1">IF(COUNTIF($AA$1:$BXX$24,325) = 0,RAND(),RAND()-1)</f>
        <v>0.9777469972507592</v>
      </c>
      <c r="B325" s="2" t="e">
        <f t="shared" ca="1" si="13"/>
        <v>#N/A</v>
      </c>
      <c r="C325" s="1">
        <v>325</v>
      </c>
      <c r="D325" s="1" t="s">
        <v>675</v>
      </c>
      <c r="E325" s="1" t="s">
        <v>676</v>
      </c>
    </row>
    <row r="326" spans="1:5" ht="25">
      <c r="A326" s="2">
        <f ca="1">IF(COUNTIF($AA$1:$BXX$24,326) = 0,RAND(),RAND()-1)</f>
        <v>0.54259060740155818</v>
      </c>
      <c r="B326" s="2" t="e">
        <f t="shared" ca="1" si="13"/>
        <v>#N/A</v>
      </c>
      <c r="C326" s="1">
        <v>326</v>
      </c>
      <c r="D326" s="1" t="s">
        <v>677</v>
      </c>
      <c r="E326" s="1" t="s">
        <v>678</v>
      </c>
    </row>
    <row r="327" spans="1:5" ht="25">
      <c r="A327" s="2">
        <f ca="1">IF(COUNTIF($AA$1:$BXX$24,327) = 0,RAND(),RAND()-1)</f>
        <v>0.89507746238095742</v>
      </c>
      <c r="B327" s="2" t="e">
        <f t="shared" ca="1" si="13"/>
        <v>#N/A</v>
      </c>
      <c r="C327" s="1">
        <v>327</v>
      </c>
      <c r="D327" s="1" t="s">
        <v>679</v>
      </c>
      <c r="E327" s="1" t="s">
        <v>680</v>
      </c>
    </row>
    <row r="328" spans="1:5" ht="25">
      <c r="A328" s="2">
        <f ca="1">IF(COUNTIF($AA$1:$BXX$24,328) = 0,RAND(),RAND()-1)</f>
        <v>0.23585899128458532</v>
      </c>
      <c r="B328" s="2" t="e">
        <f t="shared" ca="1" si="13"/>
        <v>#N/A</v>
      </c>
      <c r="C328" s="1">
        <v>328</v>
      </c>
      <c r="D328" s="1" t="s">
        <v>681</v>
      </c>
      <c r="E328" s="1" t="s">
        <v>682</v>
      </c>
    </row>
    <row r="329" spans="1:5" ht="25">
      <c r="A329" s="2">
        <f ca="1">IF(COUNTIF($AA$1:$BXX$24,329) = 0,RAND(),RAND()-1)</f>
        <v>0.75300891005527881</v>
      </c>
      <c r="B329" s="2" t="e">
        <f t="shared" ca="1" si="13"/>
        <v>#N/A</v>
      </c>
      <c r="C329" s="1">
        <v>329</v>
      </c>
      <c r="D329" s="1" t="s">
        <v>683</v>
      </c>
      <c r="E329" s="1" t="s">
        <v>684</v>
      </c>
    </row>
    <row r="330" spans="1:5" ht="25">
      <c r="A330" s="2">
        <f ca="1">IF(COUNTIF($AA$1:$BXX$24,330) = 0,RAND(),RAND()-1)</f>
        <v>0.18691331306529391</v>
      </c>
      <c r="B330" s="2" t="e">
        <f t="shared" ca="1" si="13"/>
        <v>#N/A</v>
      </c>
      <c r="C330" s="1">
        <v>330</v>
      </c>
      <c r="D330" s="1" t="s">
        <v>685</v>
      </c>
      <c r="E330" s="1" t="s">
        <v>686</v>
      </c>
    </row>
    <row r="331" spans="1:5" ht="25">
      <c r="A331" s="2">
        <f ca="1">IF(COUNTIF($AA$1:$BXX$24,331) = 0,RAND(),RAND()-1)</f>
        <v>0.49504039883717443</v>
      </c>
      <c r="B331" s="2" t="e">
        <f t="shared" ca="1" si="13"/>
        <v>#N/A</v>
      </c>
      <c r="C331" s="1">
        <v>331</v>
      </c>
      <c r="D331" s="1" t="s">
        <v>687</v>
      </c>
      <c r="E331" s="1" t="s">
        <v>688</v>
      </c>
    </row>
    <row r="332" spans="1:5" ht="25">
      <c r="A332" s="2">
        <f ca="1">IF(COUNTIF($AA$1:$BXX$24,332) = 0,RAND(),RAND()-1)</f>
        <v>0.91942486571636961</v>
      </c>
      <c r="B332" s="2" t="e">
        <f t="shared" ca="1" si="13"/>
        <v>#N/A</v>
      </c>
      <c r="C332" s="1">
        <v>332</v>
      </c>
      <c r="D332" s="1" t="s">
        <v>689</v>
      </c>
      <c r="E332" s="1" t="s">
        <v>690</v>
      </c>
    </row>
    <row r="333" spans="1:5" ht="25">
      <c r="A333" s="2">
        <f ca="1">IF(COUNTIF($AA$1:$BXX$24,333) = 0,RAND(),RAND()-1)</f>
        <v>0.43648349239322626</v>
      </c>
      <c r="B333" s="2" t="e">
        <f t="shared" ca="1" si="13"/>
        <v>#N/A</v>
      </c>
      <c r="C333" s="1">
        <v>333</v>
      </c>
      <c r="D333" s="1" t="s">
        <v>691</v>
      </c>
      <c r="E333" s="1" t="s">
        <v>692</v>
      </c>
    </row>
    <row r="334" spans="1:5" ht="25">
      <c r="A334" s="2">
        <f ca="1">IF(COUNTIF($AA$1:$BXX$24,334) = 0,RAND(),RAND()-1)</f>
        <v>0.87441006994919934</v>
      </c>
      <c r="B334" s="2" t="e">
        <f t="shared" ca="1" si="13"/>
        <v>#N/A</v>
      </c>
      <c r="C334" s="1">
        <v>334</v>
      </c>
      <c r="D334" s="1" t="s">
        <v>693</v>
      </c>
      <c r="E334" s="1" t="s">
        <v>694</v>
      </c>
    </row>
    <row r="335" spans="1:5" ht="25">
      <c r="A335" s="2">
        <f ca="1">IF(COUNTIF($AA$1:$BXX$24,335) = 0,RAND(),RAND()-1)</f>
        <v>0.60542154409240134</v>
      </c>
      <c r="B335" s="2" t="e">
        <f t="shared" ca="1" si="13"/>
        <v>#N/A</v>
      </c>
      <c r="C335" s="1">
        <v>335</v>
      </c>
      <c r="D335" s="1" t="s">
        <v>695</v>
      </c>
      <c r="E335" s="1" t="s">
        <v>696</v>
      </c>
    </row>
    <row r="336" spans="1:5" ht="25">
      <c r="A336" s="2">
        <f ca="1">IF(COUNTIF($AA$1:$BXX$24,336) = 0,RAND(),RAND()-1)</f>
        <v>0.61546219589130691</v>
      </c>
      <c r="B336" s="2" t="e">
        <f t="shared" ca="1" si="13"/>
        <v>#N/A</v>
      </c>
      <c r="C336" s="1">
        <v>336</v>
      </c>
      <c r="D336" s="1" t="s">
        <v>697</v>
      </c>
      <c r="E336" s="1" t="s">
        <v>698</v>
      </c>
    </row>
    <row r="337" spans="1:5" ht="25">
      <c r="A337" s="2">
        <f ca="1">IF(COUNTIF($AA$1:$BXX$24,337) = 0,RAND(),RAND()-1)</f>
        <v>0.55385219776474581</v>
      </c>
      <c r="B337" s="2" t="e">
        <f t="shared" ca="1" si="13"/>
        <v>#N/A</v>
      </c>
      <c r="C337" s="1">
        <v>337</v>
      </c>
      <c r="D337" s="1" t="s">
        <v>699</v>
      </c>
      <c r="E337" s="1" t="s">
        <v>700</v>
      </c>
    </row>
    <row r="338" spans="1:5" ht="25">
      <c r="A338" s="2">
        <f ca="1">IF(COUNTIF($AA$1:$BXX$24,338) = 0,RAND(),RAND()-1)</f>
        <v>6.517250096018723E-2</v>
      </c>
      <c r="B338" s="2" t="e">
        <f t="shared" ca="1" si="13"/>
        <v>#N/A</v>
      </c>
      <c r="C338" s="1">
        <v>338</v>
      </c>
      <c r="D338" s="1" t="s">
        <v>701</v>
      </c>
      <c r="E338" s="1" t="s">
        <v>702</v>
      </c>
    </row>
    <row r="339" spans="1:5" ht="25">
      <c r="A339" s="2">
        <f ca="1">IF(COUNTIF($AA$1:$BXX$24,339) = 0,RAND(),RAND()-1)</f>
        <v>0.49870680653008759</v>
      </c>
      <c r="B339" s="2" t="e">
        <f t="shared" ca="1" si="13"/>
        <v>#N/A</v>
      </c>
      <c r="C339" s="1">
        <v>339</v>
      </c>
      <c r="D339" s="1" t="s">
        <v>703</v>
      </c>
      <c r="E339" s="1" t="s">
        <v>704</v>
      </c>
    </row>
    <row r="340" spans="1:5" ht="25">
      <c r="A340" s="2">
        <f ca="1">IF(COUNTIF($AA$1:$BXX$24,340) = 0,RAND(),RAND()-1)</f>
        <v>0.24632886772570572</v>
      </c>
      <c r="B340" s="2" t="e">
        <f t="shared" ca="1" si="13"/>
        <v>#N/A</v>
      </c>
      <c r="C340" s="1">
        <v>340</v>
      </c>
      <c r="D340" s="1" t="s">
        <v>705</v>
      </c>
      <c r="E340" s="1" t="s">
        <v>706</v>
      </c>
    </row>
    <row r="341" spans="1:5" ht="25">
      <c r="A341" s="2">
        <f ca="1">IF(COUNTIF($AA$1:$BXX$24,341) = 0,RAND(),RAND()-1)</f>
        <v>0.89637145191187295</v>
      </c>
      <c r="B341" s="2" t="e">
        <f t="shared" ca="1" si="13"/>
        <v>#N/A</v>
      </c>
      <c r="C341" s="1">
        <v>341</v>
      </c>
      <c r="D341" s="1" t="s">
        <v>707</v>
      </c>
      <c r="E341" s="1" t="s">
        <v>708</v>
      </c>
    </row>
    <row r="342" spans="1:5" ht="25">
      <c r="A342" s="2">
        <f ca="1">IF(COUNTIF($AA$1:$BXX$24,342) = 0,RAND(),RAND()-1)</f>
        <v>0.16801135084945162</v>
      </c>
      <c r="B342" s="2" t="e">
        <f t="shared" ca="1" si="13"/>
        <v>#N/A</v>
      </c>
      <c r="C342" s="1">
        <v>342</v>
      </c>
      <c r="D342" s="1" t="s">
        <v>709</v>
      </c>
      <c r="E342" s="1" t="s">
        <v>710</v>
      </c>
    </row>
    <row r="343" spans="1:5" ht="25">
      <c r="A343" s="2">
        <f ca="1">IF(COUNTIF($AA$1:$BXX$24,343) = 0,RAND(),RAND()-1)</f>
        <v>0.16399126568778322</v>
      </c>
      <c r="B343" s="2" t="e">
        <f t="shared" ca="1" si="13"/>
        <v>#N/A</v>
      </c>
      <c r="C343" s="1">
        <v>343</v>
      </c>
      <c r="D343" s="1" t="s">
        <v>711</v>
      </c>
      <c r="E343" s="1" t="s">
        <v>712</v>
      </c>
    </row>
    <row r="344" spans="1:5" ht="25">
      <c r="A344" s="2">
        <f ca="1">IF(COUNTIF($AA$1:$BXX$24,344) = 0,RAND(),RAND()-1)</f>
        <v>0.59591674236413394</v>
      </c>
      <c r="B344" s="2" t="e">
        <f t="shared" ca="1" si="13"/>
        <v>#N/A</v>
      </c>
      <c r="C344" s="1">
        <v>344</v>
      </c>
      <c r="D344" s="1" t="s">
        <v>713</v>
      </c>
      <c r="E344" s="1" t="s">
        <v>714</v>
      </c>
    </row>
    <row r="345" spans="1:5" ht="25">
      <c r="A345" s="2">
        <f ca="1">IF(COUNTIF($AA$1:$BXX$24,345) = 0,RAND(),RAND()-1)</f>
        <v>0.75726669213417364</v>
      </c>
      <c r="B345" s="2" t="e">
        <f t="shared" ca="1" si="13"/>
        <v>#N/A</v>
      </c>
      <c r="C345" s="1">
        <v>345</v>
      </c>
      <c r="D345" s="1" t="s">
        <v>715</v>
      </c>
      <c r="E345" s="1" t="s">
        <v>716</v>
      </c>
    </row>
    <row r="346" spans="1:5" ht="25">
      <c r="A346" s="2">
        <f ca="1">IF(COUNTIF($AA$1:$BXX$24,346) = 0,RAND(),RAND()-1)</f>
        <v>0.6261075819953017</v>
      </c>
      <c r="B346" s="2" t="e">
        <f t="shared" ca="1" si="13"/>
        <v>#N/A</v>
      </c>
      <c r="C346" s="1">
        <v>346</v>
      </c>
      <c r="D346" s="1" t="s">
        <v>717</v>
      </c>
      <c r="E346" s="1" t="s">
        <v>718</v>
      </c>
    </row>
    <row r="347" spans="1:5" ht="25">
      <c r="A347" s="2">
        <f ca="1">IF(COUNTIF($AA$1:$BXX$24,347) = 0,RAND(),RAND()-1)</f>
        <v>0.40322707242579692</v>
      </c>
      <c r="B347" s="2" t="e">
        <f t="shared" ca="1" si="13"/>
        <v>#N/A</v>
      </c>
      <c r="C347" s="1">
        <v>347</v>
      </c>
      <c r="D347" s="1" t="s">
        <v>719</v>
      </c>
      <c r="E347" s="1" t="s">
        <v>720</v>
      </c>
    </row>
    <row r="348" spans="1:5" ht="25">
      <c r="A348" s="2">
        <f ca="1">IF(COUNTIF($AA$1:$BXX$24,348) = 0,RAND(),RAND()-1)</f>
        <v>0.94917221977883581</v>
      </c>
      <c r="B348" s="2" t="e">
        <f t="shared" ca="1" si="13"/>
        <v>#N/A</v>
      </c>
      <c r="C348" s="1">
        <v>348</v>
      </c>
      <c r="D348" s="1" t="s">
        <v>721</v>
      </c>
      <c r="E348" s="1" t="s">
        <v>722</v>
      </c>
    </row>
    <row r="349" spans="1:5" ht="25">
      <c r="A349" s="2">
        <f ca="1">IF(COUNTIF($AA$1:$BXX$24,349) = 0,RAND(),RAND()-1)</f>
        <v>0.19925976928206979</v>
      </c>
      <c r="B349" s="2" t="e">
        <f t="shared" ca="1" si="13"/>
        <v>#N/A</v>
      </c>
      <c r="C349" s="1">
        <v>349</v>
      </c>
      <c r="D349" s="1" t="s">
        <v>723</v>
      </c>
      <c r="E349" s="1" t="s">
        <v>724</v>
      </c>
    </row>
    <row r="350" spans="1:5" ht="25">
      <c r="A350" s="2">
        <f ca="1">IF(COUNTIF($AA$1:$BXX$24,350) = 0,RAND(),RAND()-1)</f>
        <v>0.31288646824777744</v>
      </c>
      <c r="B350" s="2" t="e">
        <f t="shared" ca="1" si="13"/>
        <v>#N/A</v>
      </c>
      <c r="C350" s="1">
        <v>350</v>
      </c>
      <c r="D350" s="1" t="s">
        <v>725</v>
      </c>
      <c r="E350" s="1" t="s">
        <v>726</v>
      </c>
    </row>
    <row r="351" spans="1:5" ht="25">
      <c r="A351" s="2">
        <f ca="1">IF(COUNTIF($AA$1:$BXX$24,351) = 0,RAND(),RAND()-1)</f>
        <v>0.54862232571468761</v>
      </c>
      <c r="B351" s="2" t="e">
        <f t="shared" ca="1" si="13"/>
        <v>#N/A</v>
      </c>
      <c r="C351" s="1">
        <v>351</v>
      </c>
      <c r="D351" s="1" t="s">
        <v>727</v>
      </c>
      <c r="E351" s="1" t="s">
        <v>728</v>
      </c>
    </row>
    <row r="352" spans="1:5" ht="25">
      <c r="A352" s="2">
        <f ca="1">IF(COUNTIF($AA$1:$BXX$24,352) = 0,RAND(),RAND()-1)</f>
        <v>4.5782240807067387E-2</v>
      </c>
      <c r="B352" s="2" t="e">
        <f t="shared" ca="1" si="13"/>
        <v>#N/A</v>
      </c>
      <c r="C352" s="1">
        <v>352</v>
      </c>
      <c r="D352" s="1" t="s">
        <v>729</v>
      </c>
      <c r="E352" s="1" t="s">
        <v>730</v>
      </c>
    </row>
    <row r="353" spans="1:5" ht="25">
      <c r="A353" s="2">
        <f ca="1">IF(COUNTIF($AA$1:$BXX$24,353) = 0,RAND(),RAND()-1)</f>
        <v>0.26331076473329906</v>
      </c>
      <c r="B353" s="2" t="e">
        <f t="shared" ca="1" si="13"/>
        <v>#N/A</v>
      </c>
      <c r="C353" s="1">
        <v>353</v>
      </c>
      <c r="D353" s="1" t="s">
        <v>731</v>
      </c>
      <c r="E353" s="1" t="s">
        <v>732</v>
      </c>
    </row>
    <row r="354" spans="1:5" ht="25">
      <c r="A354" s="2">
        <f ca="1">IF(COUNTIF($AA$1:$BXX$24,354) = 0,RAND(),RAND()-1)</f>
        <v>0.9180014529067746</v>
      </c>
      <c r="B354" s="2" t="e">
        <f t="shared" ca="1" si="13"/>
        <v>#N/A</v>
      </c>
      <c r="C354" s="1">
        <v>354</v>
      </c>
      <c r="D354" s="1" t="s">
        <v>733</v>
      </c>
      <c r="E354" s="1" t="s">
        <v>137</v>
      </c>
    </row>
    <row r="355" spans="1:5" ht="25">
      <c r="A355" s="2">
        <f ca="1">IF(COUNTIF($AA$1:$BXX$24,355) = 0,RAND(),RAND()-1)</f>
        <v>0.28088337430359811</v>
      </c>
      <c r="B355" s="2" t="e">
        <f t="shared" ca="1" si="13"/>
        <v>#N/A</v>
      </c>
      <c r="C355" s="1">
        <v>355</v>
      </c>
      <c r="D355" s="1" t="s">
        <v>734</v>
      </c>
      <c r="E355" s="1" t="s">
        <v>735</v>
      </c>
    </row>
    <row r="356" spans="1:5" ht="25">
      <c r="A356" s="2">
        <f ca="1">IF(COUNTIF($AA$1:$BXX$24,356) = 0,RAND(),RAND()-1)</f>
        <v>0.26490984063701317</v>
      </c>
      <c r="B356" s="2" t="e">
        <f t="shared" ca="1" si="13"/>
        <v>#N/A</v>
      </c>
      <c r="C356" s="1">
        <v>356</v>
      </c>
      <c r="D356" s="1" t="s">
        <v>736</v>
      </c>
      <c r="E356" s="1" t="s">
        <v>737</v>
      </c>
    </row>
    <row r="357" spans="1:5" ht="25">
      <c r="A357" s="2">
        <f ca="1">IF(COUNTIF($AA$1:$BXX$24,357) = 0,RAND(),RAND()-1)</f>
        <v>0.87752199065120595</v>
      </c>
      <c r="B357" s="2" t="e">
        <f t="shared" ca="1" si="13"/>
        <v>#N/A</v>
      </c>
      <c r="C357" s="1">
        <v>357</v>
      </c>
      <c r="D357" s="1" t="s">
        <v>738</v>
      </c>
      <c r="E357" s="1" t="s">
        <v>739</v>
      </c>
    </row>
    <row r="358" spans="1:5" ht="25">
      <c r="A358" s="2">
        <f ca="1">IF(COUNTIF($AA$1:$BXX$24,358) = 0,RAND(),RAND()-1)</f>
        <v>0.68843027019258984</v>
      </c>
      <c r="B358" s="2" t="e">
        <f t="shared" ca="1" si="13"/>
        <v>#N/A</v>
      </c>
      <c r="C358" s="1">
        <v>358</v>
      </c>
      <c r="D358" s="1" t="s">
        <v>740</v>
      </c>
      <c r="E358" s="1" t="s">
        <v>741</v>
      </c>
    </row>
    <row r="359" spans="1:5" ht="25">
      <c r="A359" s="2">
        <f ca="1">IF(COUNTIF($AA$1:$BXX$24,359) = 0,RAND(),RAND()-1)</f>
        <v>0.47216514101057327</v>
      </c>
      <c r="B359" s="2" t="e">
        <f t="shared" ca="1" si="13"/>
        <v>#N/A</v>
      </c>
      <c r="C359" s="1">
        <v>359</v>
      </c>
      <c r="D359" s="1" t="s">
        <v>742</v>
      </c>
      <c r="E359" s="1" t="s">
        <v>743</v>
      </c>
    </row>
    <row r="360" spans="1:5" ht="25">
      <c r="A360" s="2">
        <f ca="1">IF(COUNTIF($AA$1:$BXX$24,360) = 0,RAND(),RAND()-1)</f>
        <v>0.79707437477334431</v>
      </c>
      <c r="B360" s="2" t="e">
        <f t="shared" ca="1" si="13"/>
        <v>#N/A</v>
      </c>
      <c r="C360" s="1">
        <v>360</v>
      </c>
      <c r="D360" s="1" t="s">
        <v>744</v>
      </c>
      <c r="E360" s="1" t="s">
        <v>745</v>
      </c>
    </row>
    <row r="361" spans="1:5" ht="25">
      <c r="A361" s="2">
        <f ca="1">IF(COUNTIF($AA$1:$BXX$24,361) = 0,RAND(),RAND()-1)</f>
        <v>0.60689846791530611</v>
      </c>
      <c r="B361" s="2" t="e">
        <f t="shared" ca="1" si="13"/>
        <v>#N/A</v>
      </c>
      <c r="C361" s="1">
        <v>361</v>
      </c>
      <c r="D361" s="1" t="s">
        <v>746</v>
      </c>
      <c r="E361" s="1" t="s">
        <v>747</v>
      </c>
    </row>
    <row r="362" spans="1:5" ht="25">
      <c r="A362" s="2">
        <f ca="1">IF(COUNTIF($AA$1:$BXX$24,362) = 0,RAND(),RAND()-1)</f>
        <v>0.49234256009854371</v>
      </c>
      <c r="B362" s="2" t="e">
        <f t="shared" ca="1" si="13"/>
        <v>#N/A</v>
      </c>
      <c r="C362" s="1">
        <v>362</v>
      </c>
      <c r="D362" s="1" t="s">
        <v>748</v>
      </c>
      <c r="E362" s="1" t="s">
        <v>749</v>
      </c>
    </row>
    <row r="363" spans="1:5" ht="25">
      <c r="A363" s="2">
        <f ca="1">IF(COUNTIF($AA$1:$BXX$24,363) = 0,RAND(),RAND()-1)</f>
        <v>0.86698060666724897</v>
      </c>
      <c r="B363" s="2" t="e">
        <f t="shared" ca="1" si="13"/>
        <v>#N/A</v>
      </c>
      <c r="C363" s="1">
        <v>363</v>
      </c>
      <c r="D363" s="1" t="s">
        <v>750</v>
      </c>
      <c r="E363" s="1" t="s">
        <v>751</v>
      </c>
    </row>
    <row r="364" spans="1:5" ht="25">
      <c r="A364" s="2">
        <f ca="1">IF(COUNTIF($AA$1:$BXX$24,364) = 0,RAND(),RAND()-1)</f>
        <v>0.48504161971362025</v>
      </c>
      <c r="B364" s="2" t="e">
        <f t="shared" ca="1" si="13"/>
        <v>#N/A</v>
      </c>
      <c r="C364" s="1">
        <v>364</v>
      </c>
      <c r="D364" s="1" t="s">
        <v>752</v>
      </c>
      <c r="E364" s="1" t="s">
        <v>303</v>
      </c>
    </row>
    <row r="365" spans="1:5" ht="25">
      <c r="A365" s="2">
        <f ca="1">IF(COUNTIF($AA$1:$BXX$24,365) = 0,RAND(),RAND()-1)</f>
        <v>0.75441851273356508</v>
      </c>
      <c r="B365" s="2" t="e">
        <f t="shared" ca="1" si="13"/>
        <v>#N/A</v>
      </c>
      <c r="C365" s="1">
        <v>365</v>
      </c>
      <c r="D365" s="1" t="s">
        <v>753</v>
      </c>
      <c r="E365" s="1" t="s">
        <v>754</v>
      </c>
    </row>
    <row r="366" spans="1:5" ht="25">
      <c r="A366" s="2">
        <f ca="1">IF(COUNTIF($AA$1:$BXX$24,366) = 0,RAND(),RAND()-1)</f>
        <v>0.17257671135480557</v>
      </c>
      <c r="B366" s="2" t="e">
        <f t="shared" ca="1" si="13"/>
        <v>#N/A</v>
      </c>
      <c r="C366" s="1">
        <v>366</v>
      </c>
      <c r="D366" s="1" t="s">
        <v>755</v>
      </c>
      <c r="E366" s="1" t="s">
        <v>756</v>
      </c>
    </row>
    <row r="367" spans="1:5" ht="25">
      <c r="A367" s="2">
        <f ca="1">IF(COUNTIF($AA$1:$BXX$24,367) = 0,RAND(),RAND()-1)</f>
        <v>0.58693690361325346</v>
      </c>
      <c r="B367" s="2" t="e">
        <f t="shared" ca="1" si="13"/>
        <v>#N/A</v>
      </c>
      <c r="C367" s="1">
        <v>367</v>
      </c>
      <c r="D367" s="1" t="s">
        <v>757</v>
      </c>
      <c r="E367" s="1" t="s">
        <v>758</v>
      </c>
    </row>
    <row r="368" spans="1:5" ht="25">
      <c r="A368" s="2">
        <f ca="1">IF(COUNTIF($AA$1:$BXX$24,368) = 0,RAND(),RAND()-1)</f>
        <v>0.5305329000436857</v>
      </c>
      <c r="B368" s="2" t="e">
        <f t="shared" ca="1" si="13"/>
        <v>#N/A</v>
      </c>
      <c r="C368" s="1">
        <v>368</v>
      </c>
      <c r="D368" s="1" t="s">
        <v>759</v>
      </c>
      <c r="E368" s="1" t="s">
        <v>760</v>
      </c>
    </row>
    <row r="369" spans="1:5" ht="25">
      <c r="A369" s="2">
        <f ca="1">IF(COUNTIF($AA$1:$BXX$24,369) = 0,RAND(),RAND()-1)</f>
        <v>0.90206568474342397</v>
      </c>
      <c r="B369" s="2" t="e">
        <f t="shared" ca="1" si="13"/>
        <v>#N/A</v>
      </c>
      <c r="C369" s="1">
        <v>369</v>
      </c>
      <c r="D369" s="1" t="s">
        <v>761</v>
      </c>
      <c r="E369" s="1" t="s">
        <v>762</v>
      </c>
    </row>
    <row r="370" spans="1:5" ht="25">
      <c r="A370" s="2">
        <f ca="1">IF(COUNTIF($AA$1:$BXX$24,370) = 0,RAND(),RAND()-1)</f>
        <v>0.22538737160353928</v>
      </c>
      <c r="B370" s="2" t="e">
        <f t="shared" ca="1" si="13"/>
        <v>#N/A</v>
      </c>
      <c r="C370" s="1">
        <v>370</v>
      </c>
      <c r="D370" s="1" t="s">
        <v>763</v>
      </c>
      <c r="E370" s="1" t="s">
        <v>764</v>
      </c>
    </row>
    <row r="371" spans="1:5" ht="25">
      <c r="A371" s="2">
        <f ca="1">IF(COUNTIF($AA$1:$BXX$24,371) = 0,RAND(),RAND()-1)</f>
        <v>0.43547104527120306</v>
      </c>
      <c r="B371" s="2" t="e">
        <f t="shared" ca="1" si="13"/>
        <v>#N/A</v>
      </c>
      <c r="C371" s="1">
        <v>371</v>
      </c>
      <c r="D371" s="1" t="s">
        <v>765</v>
      </c>
      <c r="E371" s="1" t="s">
        <v>766</v>
      </c>
    </row>
    <row r="372" spans="1:5" ht="25">
      <c r="A372" s="2">
        <f ca="1">IF(COUNTIF($AA$1:$BXX$24,372) = 0,RAND(),RAND()-1)</f>
        <v>0.35445702515484601</v>
      </c>
      <c r="B372" s="2" t="e">
        <f t="shared" ca="1" si="13"/>
        <v>#N/A</v>
      </c>
      <c r="C372" s="1">
        <v>372</v>
      </c>
      <c r="D372" s="1" t="s">
        <v>767</v>
      </c>
      <c r="E372" s="1" t="s">
        <v>768</v>
      </c>
    </row>
    <row r="373" spans="1:5" ht="25">
      <c r="A373" s="2">
        <f ca="1">IF(COUNTIF($AA$1:$BXX$24,373) = 0,RAND(),RAND()-1)</f>
        <v>0.54135767832824033</v>
      </c>
      <c r="B373" s="2" t="e">
        <f t="shared" ca="1" si="13"/>
        <v>#N/A</v>
      </c>
      <c r="C373" s="1">
        <v>373</v>
      </c>
      <c r="D373" s="1" t="s">
        <v>769</v>
      </c>
      <c r="E373" s="1" t="s">
        <v>770</v>
      </c>
    </row>
    <row r="374" spans="1:5" ht="25">
      <c r="A374" s="2">
        <f ca="1">IF(COUNTIF($AA$1:$BXX$24,374) = 0,RAND(),RAND()-1)</f>
        <v>0.94326556163593855</v>
      </c>
      <c r="B374" s="2" t="e">
        <f t="shared" ca="1" si="13"/>
        <v>#N/A</v>
      </c>
      <c r="C374" s="1">
        <v>374</v>
      </c>
      <c r="D374" s="1" t="s">
        <v>771</v>
      </c>
      <c r="E374" s="1" t="s">
        <v>772</v>
      </c>
    </row>
    <row r="375" spans="1:5" ht="25">
      <c r="A375" s="2">
        <f ca="1">IF(COUNTIF($AA$1:$BXX$24,375) = 0,RAND(),RAND()-1)</f>
        <v>0.56138881976651045</v>
      </c>
      <c r="B375" s="2" t="e">
        <f t="shared" ca="1" si="13"/>
        <v>#N/A</v>
      </c>
      <c r="C375" s="1">
        <v>375</v>
      </c>
      <c r="D375" s="1" t="s">
        <v>773</v>
      </c>
      <c r="E375" s="1" t="s">
        <v>774</v>
      </c>
    </row>
    <row r="376" spans="1:5" ht="25">
      <c r="A376" s="2">
        <f ca="1">IF(COUNTIF($AA$1:$BXX$24,376) = 0,RAND(),RAND()-1)</f>
        <v>4.9744482505316157E-2</v>
      </c>
      <c r="B376" s="2" t="e">
        <f t="shared" ca="1" si="13"/>
        <v>#N/A</v>
      </c>
      <c r="C376" s="1">
        <v>376</v>
      </c>
      <c r="D376" s="1" t="s">
        <v>775</v>
      </c>
      <c r="E376" s="1" t="s">
        <v>776</v>
      </c>
    </row>
    <row r="377" spans="1:5" ht="25">
      <c r="A377" s="2">
        <f ca="1">IF(COUNTIF($AA$1:$BXX$24,377) = 0,RAND(),RAND()-1)</f>
        <v>0.55440079810645382</v>
      </c>
      <c r="B377" s="2" t="e">
        <f t="shared" ca="1" si="13"/>
        <v>#N/A</v>
      </c>
      <c r="C377" s="1">
        <v>377</v>
      </c>
      <c r="D377" s="1" t="s">
        <v>777</v>
      </c>
      <c r="E377" s="1" t="s">
        <v>778</v>
      </c>
    </row>
    <row r="378" spans="1:5" ht="25">
      <c r="A378" s="2">
        <f ca="1">IF(COUNTIF($AA$1:$BXX$24,378) = 0,RAND(),RAND()-1)</f>
        <v>0.14179121899678471</v>
      </c>
      <c r="B378" s="2" t="e">
        <f t="shared" ca="1" si="13"/>
        <v>#N/A</v>
      </c>
      <c r="C378" s="1">
        <v>378</v>
      </c>
      <c r="D378" s="1" t="s">
        <v>779</v>
      </c>
      <c r="E378" s="1" t="s">
        <v>780</v>
      </c>
    </row>
    <row r="379" spans="1:5" ht="25">
      <c r="A379" s="2">
        <f ca="1">IF(COUNTIF($AA$1:$BXX$24,379) = 0,RAND(),RAND()-1)</f>
        <v>0.35839041125734228</v>
      </c>
      <c r="B379" s="2" t="e">
        <f t="shared" ca="1" si="13"/>
        <v>#N/A</v>
      </c>
      <c r="C379" s="1">
        <v>379</v>
      </c>
      <c r="D379" s="1" t="s">
        <v>781</v>
      </c>
      <c r="E379" s="1" t="s">
        <v>782</v>
      </c>
    </row>
    <row r="380" spans="1:5" ht="25">
      <c r="A380" s="2">
        <f ca="1">IF(COUNTIF($AA$1:$BXX$24,380) = 0,RAND(),RAND()-1)</f>
        <v>0.12129859542833177</v>
      </c>
      <c r="B380" s="2" t="e">
        <f t="shared" ca="1" si="13"/>
        <v>#N/A</v>
      </c>
      <c r="C380" s="1">
        <v>380</v>
      </c>
      <c r="D380" s="1" t="s">
        <v>783</v>
      </c>
      <c r="E380" s="1" t="s">
        <v>784</v>
      </c>
    </row>
    <row r="381" spans="1:5" ht="25">
      <c r="A381" s="2">
        <f ca="1">IF(COUNTIF($AA$1:$BXX$24,381) = 0,RAND(),RAND()-1)</f>
        <v>0.92125588430279926</v>
      </c>
      <c r="B381" s="2" t="e">
        <f t="shared" ca="1" si="13"/>
        <v>#N/A</v>
      </c>
      <c r="C381" s="1">
        <v>381</v>
      </c>
      <c r="D381" s="1" t="s">
        <v>785</v>
      </c>
      <c r="E381" s="1" t="s">
        <v>786</v>
      </c>
    </row>
    <row r="382" spans="1:5" ht="25">
      <c r="A382" s="2">
        <f ca="1">IF(COUNTIF($AA$1:$BXX$24,382) = 0,RAND(),RAND()-1)</f>
        <v>0.37507365203958254</v>
      </c>
      <c r="B382" s="2" t="e">
        <f t="shared" ca="1" si="13"/>
        <v>#N/A</v>
      </c>
      <c r="C382" s="1">
        <v>382</v>
      </c>
      <c r="D382" s="1" t="s">
        <v>787</v>
      </c>
      <c r="E382" s="1" t="s">
        <v>788</v>
      </c>
    </row>
    <row r="383" spans="1:5" ht="25">
      <c r="A383" s="2">
        <f ca="1">IF(COUNTIF($AA$1:$BXX$24,383) = 0,RAND(),RAND()-1)</f>
        <v>0.38734018624137356</v>
      </c>
      <c r="B383" s="2" t="e">
        <f t="shared" ca="1" si="13"/>
        <v>#N/A</v>
      </c>
      <c r="C383" s="1">
        <v>383</v>
      </c>
      <c r="D383" s="1" t="s">
        <v>789</v>
      </c>
      <c r="E383" s="1" t="s">
        <v>790</v>
      </c>
    </row>
    <row r="384" spans="1:5" ht="25">
      <c r="A384" s="2">
        <f ca="1">IF(COUNTIF($AA$1:$BXX$24,384) = 0,RAND(),RAND()-1)</f>
        <v>0.58054003475748894</v>
      </c>
      <c r="B384" s="2" t="e">
        <f t="shared" ca="1" si="13"/>
        <v>#N/A</v>
      </c>
      <c r="C384" s="1">
        <v>384</v>
      </c>
      <c r="D384" s="1" t="s">
        <v>791</v>
      </c>
      <c r="E384" s="1" t="s">
        <v>792</v>
      </c>
    </row>
    <row r="385" spans="1:5" ht="25">
      <c r="A385" s="2">
        <f ca="1">IF(COUNTIF($AA$1:$BXX$24,385) = 0,RAND(),RAND()-1)</f>
        <v>0.2230279568837209</v>
      </c>
      <c r="B385" s="2" t="e">
        <f t="shared" ref="B385:B448" ca="1" si="14">RANK(A385,OFFSET($A$1,$G$1-1,0,$G$2-$G$1+1))</f>
        <v>#N/A</v>
      </c>
      <c r="C385" s="1">
        <v>385</v>
      </c>
      <c r="D385" s="1" t="s">
        <v>793</v>
      </c>
      <c r="E385" s="1" t="s">
        <v>794</v>
      </c>
    </row>
    <row r="386" spans="1:5" ht="25">
      <c r="A386" s="2">
        <f ca="1">IF(COUNTIF($AA$1:$BXX$24,386) = 0,RAND(),RAND()-1)</f>
        <v>2.8395627242858934E-2</v>
      </c>
      <c r="B386" s="2" t="e">
        <f t="shared" ca="1" si="14"/>
        <v>#N/A</v>
      </c>
      <c r="C386" s="1">
        <v>386</v>
      </c>
      <c r="D386" s="1" t="s">
        <v>795</v>
      </c>
      <c r="E386" s="1" t="s">
        <v>796</v>
      </c>
    </row>
    <row r="387" spans="1:5" ht="25">
      <c r="A387" s="2">
        <f ca="1">IF(COUNTIF($AA$1:$BXX$24,387) = 0,RAND(),RAND()-1)</f>
        <v>0.77890763436621679</v>
      </c>
      <c r="B387" s="2" t="e">
        <f t="shared" ca="1" si="14"/>
        <v>#N/A</v>
      </c>
      <c r="C387" s="1">
        <v>387</v>
      </c>
      <c r="D387" s="1" t="s">
        <v>797</v>
      </c>
      <c r="E387" s="1" t="s">
        <v>798</v>
      </c>
    </row>
    <row r="388" spans="1:5" ht="25">
      <c r="A388" s="2">
        <f ca="1">IF(COUNTIF($AA$1:$BXX$24,388) = 0,RAND(),RAND()-1)</f>
        <v>0.49151684250049577</v>
      </c>
      <c r="B388" s="2" t="e">
        <f t="shared" ca="1" si="14"/>
        <v>#N/A</v>
      </c>
      <c r="C388" s="1">
        <v>388</v>
      </c>
      <c r="D388" s="1" t="s">
        <v>799</v>
      </c>
      <c r="E388" s="1" t="s">
        <v>800</v>
      </c>
    </row>
    <row r="389" spans="1:5" ht="25">
      <c r="A389" s="2">
        <f ca="1">IF(COUNTIF($AA$1:$BXX$24,389) = 0,RAND(),RAND()-1)</f>
        <v>0.64243590486080571</v>
      </c>
      <c r="B389" s="2" t="e">
        <f t="shared" ca="1" si="14"/>
        <v>#N/A</v>
      </c>
      <c r="C389" s="1">
        <v>389</v>
      </c>
      <c r="D389" s="1" t="s">
        <v>801</v>
      </c>
      <c r="E389" s="1" t="s">
        <v>802</v>
      </c>
    </row>
    <row r="390" spans="1:5" ht="25">
      <c r="A390" s="2">
        <f ca="1">IF(COUNTIF($AA$1:$BXX$24,390) = 0,RAND(),RAND()-1)</f>
        <v>0.27750709138186991</v>
      </c>
      <c r="B390" s="2" t="e">
        <f t="shared" ca="1" si="14"/>
        <v>#N/A</v>
      </c>
      <c r="C390" s="1">
        <v>390</v>
      </c>
      <c r="D390" s="1" t="s">
        <v>803</v>
      </c>
      <c r="E390" s="1" t="s">
        <v>804</v>
      </c>
    </row>
    <row r="391" spans="1:5" ht="25">
      <c r="A391" s="2">
        <f ca="1">IF(COUNTIF($AA$1:$BXX$24,391) = 0,RAND(),RAND()-1)</f>
        <v>2.6771477807544186E-2</v>
      </c>
      <c r="B391" s="2" t="e">
        <f t="shared" ca="1" si="14"/>
        <v>#N/A</v>
      </c>
      <c r="C391" s="1">
        <v>391</v>
      </c>
      <c r="D391" s="1" t="s">
        <v>805</v>
      </c>
      <c r="E391" s="1" t="s">
        <v>806</v>
      </c>
    </row>
    <row r="392" spans="1:5" ht="25">
      <c r="A392" s="2">
        <f ca="1">IF(COUNTIF($AA$1:$BXX$24,392) = 0,RAND(),RAND()-1)</f>
        <v>0.61761993625968925</v>
      </c>
      <c r="B392" s="2" t="e">
        <f t="shared" ca="1" si="14"/>
        <v>#N/A</v>
      </c>
      <c r="C392" s="1">
        <v>392</v>
      </c>
      <c r="D392" s="1" t="s">
        <v>807</v>
      </c>
      <c r="E392" s="1" t="s">
        <v>808</v>
      </c>
    </row>
    <row r="393" spans="1:5" ht="25">
      <c r="A393" s="2">
        <f ca="1">IF(COUNTIF($AA$1:$BXX$24,393) = 0,RAND(),RAND()-1)</f>
        <v>0.33441489663578472</v>
      </c>
      <c r="B393" s="2" t="e">
        <f t="shared" ca="1" si="14"/>
        <v>#N/A</v>
      </c>
      <c r="C393" s="1">
        <v>393</v>
      </c>
      <c r="D393" s="1" t="s">
        <v>809</v>
      </c>
      <c r="E393" s="1" t="s">
        <v>810</v>
      </c>
    </row>
    <row r="394" spans="1:5" ht="25">
      <c r="A394" s="2">
        <f ca="1">IF(COUNTIF($AA$1:$BXX$24,394) = 0,RAND(),RAND()-1)</f>
        <v>0.34606888409837666</v>
      </c>
      <c r="B394" s="2" t="e">
        <f t="shared" ca="1" si="14"/>
        <v>#N/A</v>
      </c>
      <c r="C394" s="1">
        <v>394</v>
      </c>
      <c r="D394" s="1" t="s">
        <v>811</v>
      </c>
      <c r="E394" s="1" t="s">
        <v>812</v>
      </c>
    </row>
    <row r="395" spans="1:5" ht="25">
      <c r="A395" s="2">
        <f ca="1">IF(COUNTIF($AA$1:$BXX$24,395) = 0,RAND(),RAND()-1)</f>
        <v>8.5782697136969288E-2</v>
      </c>
      <c r="B395" s="2" t="e">
        <f t="shared" ca="1" si="14"/>
        <v>#N/A</v>
      </c>
      <c r="C395" s="1">
        <v>395</v>
      </c>
      <c r="D395" s="1" t="s">
        <v>813</v>
      </c>
      <c r="E395" s="1" t="s">
        <v>814</v>
      </c>
    </row>
    <row r="396" spans="1:5" ht="25">
      <c r="A396" s="2">
        <f ca="1">IF(COUNTIF($AA$1:$BXX$24,396) = 0,RAND(),RAND()-1)</f>
        <v>0.49832344194273814</v>
      </c>
      <c r="B396" s="2" t="e">
        <f t="shared" ca="1" si="14"/>
        <v>#N/A</v>
      </c>
      <c r="C396" s="1">
        <v>396</v>
      </c>
      <c r="D396" s="1" t="s">
        <v>815</v>
      </c>
      <c r="E396" s="1" t="s">
        <v>816</v>
      </c>
    </row>
    <row r="397" spans="1:5" ht="25">
      <c r="A397" s="2">
        <f ca="1">IF(COUNTIF($AA$1:$BXX$24,397) = 0,RAND(),RAND()-1)</f>
        <v>0.11034889246802038</v>
      </c>
      <c r="B397" s="2" t="e">
        <f t="shared" ca="1" si="14"/>
        <v>#N/A</v>
      </c>
      <c r="C397" s="1">
        <v>397</v>
      </c>
      <c r="D397" s="1" t="s">
        <v>817</v>
      </c>
      <c r="E397" s="1" t="s">
        <v>818</v>
      </c>
    </row>
    <row r="398" spans="1:5" ht="25">
      <c r="A398" s="2">
        <f ca="1">IF(COUNTIF($AA$1:$BXX$24,398) = 0,RAND(),RAND()-1)</f>
        <v>0.73531376793617442</v>
      </c>
      <c r="B398" s="2" t="e">
        <f t="shared" ca="1" si="14"/>
        <v>#N/A</v>
      </c>
      <c r="C398" s="1">
        <v>398</v>
      </c>
      <c r="D398" s="1" t="s">
        <v>819</v>
      </c>
      <c r="E398" s="1" t="s">
        <v>820</v>
      </c>
    </row>
    <row r="399" spans="1:5" ht="25">
      <c r="A399" s="2">
        <f ca="1">IF(COUNTIF($AA$1:$BXX$24,399) = 0,RAND(),RAND()-1)</f>
        <v>0.59626027320433017</v>
      </c>
      <c r="B399" s="2" t="e">
        <f t="shared" ca="1" si="14"/>
        <v>#N/A</v>
      </c>
      <c r="C399" s="1">
        <v>399</v>
      </c>
      <c r="D399" s="1" t="s">
        <v>821</v>
      </c>
      <c r="E399" s="1" t="s">
        <v>822</v>
      </c>
    </row>
    <row r="400" spans="1:5" ht="25">
      <c r="A400" s="2">
        <f ca="1">IF(COUNTIF($AA$1:$BXX$24,400) = 0,RAND(),RAND()-1)</f>
        <v>0.81787457987135648</v>
      </c>
      <c r="B400" s="2" t="e">
        <f t="shared" ca="1" si="14"/>
        <v>#N/A</v>
      </c>
      <c r="C400" s="1">
        <v>400</v>
      </c>
      <c r="D400" s="1" t="s">
        <v>823</v>
      </c>
      <c r="E400" s="1" t="s">
        <v>824</v>
      </c>
    </row>
    <row r="401" spans="1:5" ht="25">
      <c r="A401" s="2">
        <f ca="1">IF(COUNTIF($AA$1:$BXX$24,401) = 0,RAND(),RAND()-1)</f>
        <v>0.84186698298031848</v>
      </c>
      <c r="B401" s="2" t="e">
        <f t="shared" ca="1" si="14"/>
        <v>#N/A</v>
      </c>
      <c r="C401" s="1">
        <v>401</v>
      </c>
      <c r="D401" s="1" t="s">
        <v>825</v>
      </c>
      <c r="E401" s="1" t="s">
        <v>826</v>
      </c>
    </row>
    <row r="402" spans="1:5" ht="25">
      <c r="A402" s="2">
        <f ca="1">IF(COUNTIF($AA$1:$BXX$24,402) = 0,RAND(),RAND()-1)</f>
        <v>4.1885891551136312E-2</v>
      </c>
      <c r="B402" s="2" t="e">
        <f t="shared" ca="1" si="14"/>
        <v>#N/A</v>
      </c>
      <c r="C402" s="1">
        <v>402</v>
      </c>
      <c r="D402" s="1" t="s">
        <v>827</v>
      </c>
      <c r="E402" s="1" t="s">
        <v>828</v>
      </c>
    </row>
    <row r="403" spans="1:5" ht="25">
      <c r="A403" s="2">
        <f ca="1">IF(COUNTIF($AA$1:$BXX$24,403) = 0,RAND(),RAND()-1)</f>
        <v>0.96857005691779396</v>
      </c>
      <c r="B403" s="2" t="e">
        <f t="shared" ca="1" si="14"/>
        <v>#N/A</v>
      </c>
      <c r="C403" s="1">
        <v>403</v>
      </c>
      <c r="D403" s="1" t="s">
        <v>829</v>
      </c>
      <c r="E403" s="1" t="s">
        <v>830</v>
      </c>
    </row>
    <row r="404" spans="1:5" ht="25">
      <c r="A404" s="2">
        <f ca="1">IF(COUNTIF($AA$1:$BXX$24,404) = 0,RAND(),RAND()-1)</f>
        <v>0.60978742106700579</v>
      </c>
      <c r="B404" s="2" t="e">
        <f t="shared" ca="1" si="14"/>
        <v>#N/A</v>
      </c>
      <c r="C404" s="1">
        <v>404</v>
      </c>
      <c r="D404" s="1" t="s">
        <v>831</v>
      </c>
      <c r="E404" s="1" t="s">
        <v>832</v>
      </c>
    </row>
    <row r="405" spans="1:5" ht="25">
      <c r="A405" s="2">
        <f ca="1">IF(COUNTIF($AA$1:$BXX$24,405) = 0,RAND(),RAND()-1)</f>
        <v>0.39806945613197908</v>
      </c>
      <c r="B405" s="2" t="e">
        <f t="shared" ca="1" si="14"/>
        <v>#N/A</v>
      </c>
      <c r="C405" s="1">
        <v>405</v>
      </c>
      <c r="D405" s="1" t="s">
        <v>833</v>
      </c>
      <c r="E405" s="1" t="s">
        <v>834</v>
      </c>
    </row>
    <row r="406" spans="1:5" ht="25">
      <c r="A406" s="2">
        <f ca="1">IF(COUNTIF($AA$1:$BXX$24,406) = 0,RAND(),RAND()-1)</f>
        <v>1.1729410194090018E-2</v>
      </c>
      <c r="B406" s="2" t="e">
        <f t="shared" ca="1" si="14"/>
        <v>#N/A</v>
      </c>
      <c r="C406" s="1">
        <v>406</v>
      </c>
      <c r="D406" s="1" t="s">
        <v>835</v>
      </c>
      <c r="E406" s="1" t="s">
        <v>836</v>
      </c>
    </row>
    <row r="407" spans="1:5" ht="25">
      <c r="A407" s="2">
        <f ca="1">IF(COUNTIF($AA$1:$BXX$24,407) = 0,RAND(),RAND()-1)</f>
        <v>0.35186005633375916</v>
      </c>
      <c r="B407" s="2" t="e">
        <f t="shared" ca="1" si="14"/>
        <v>#N/A</v>
      </c>
      <c r="C407" s="1">
        <v>407</v>
      </c>
      <c r="D407" s="1" t="s">
        <v>837</v>
      </c>
      <c r="E407" s="1" t="s">
        <v>838</v>
      </c>
    </row>
    <row r="408" spans="1:5" ht="25">
      <c r="A408" s="2">
        <f ca="1">IF(COUNTIF($AA$1:$BXX$24,408) = 0,RAND(),RAND()-1)</f>
        <v>0.33565993065225752</v>
      </c>
      <c r="B408" s="2" t="e">
        <f t="shared" ca="1" si="14"/>
        <v>#N/A</v>
      </c>
      <c r="C408" s="1">
        <v>408</v>
      </c>
      <c r="D408" s="1" t="s">
        <v>839</v>
      </c>
      <c r="E408" s="1" t="s">
        <v>840</v>
      </c>
    </row>
    <row r="409" spans="1:5" ht="25">
      <c r="A409" s="2">
        <f ca="1">IF(COUNTIF($AA$1:$BXX$24,409) = 0,RAND(),RAND()-1)</f>
        <v>0.12172974713762652</v>
      </c>
      <c r="B409" s="2" t="e">
        <f t="shared" ca="1" si="14"/>
        <v>#N/A</v>
      </c>
      <c r="C409" s="1">
        <v>409</v>
      </c>
      <c r="D409" s="1" t="s">
        <v>841</v>
      </c>
      <c r="E409" s="1" t="s">
        <v>842</v>
      </c>
    </row>
    <row r="410" spans="1:5" ht="25">
      <c r="A410" s="2">
        <f ca="1">IF(COUNTIF($AA$1:$BXX$24,410) = 0,RAND(),RAND()-1)</f>
        <v>0.86758259048989284</v>
      </c>
      <c r="B410" s="2" t="e">
        <f t="shared" ca="1" si="14"/>
        <v>#N/A</v>
      </c>
      <c r="C410" s="1">
        <v>410</v>
      </c>
      <c r="D410" s="1" t="s">
        <v>843</v>
      </c>
      <c r="E410" s="1" t="s">
        <v>844</v>
      </c>
    </row>
    <row r="411" spans="1:5" ht="25">
      <c r="A411" s="2">
        <f ca="1">IF(COUNTIF($AA$1:$BXX$24,411) = 0,RAND(),RAND()-1)</f>
        <v>0.13535457708969445</v>
      </c>
      <c r="B411" s="2" t="e">
        <f t="shared" ca="1" si="14"/>
        <v>#N/A</v>
      </c>
      <c r="C411" s="1">
        <v>411</v>
      </c>
      <c r="D411" s="1" t="s">
        <v>845</v>
      </c>
      <c r="E411" s="1" t="s">
        <v>846</v>
      </c>
    </row>
    <row r="412" spans="1:5" ht="25">
      <c r="A412" s="2">
        <f ca="1">IF(COUNTIF($AA$1:$BXX$24,412) = 0,RAND(),RAND()-1)</f>
        <v>7.9557293531308249E-2</v>
      </c>
      <c r="B412" s="2" t="e">
        <f t="shared" ca="1" si="14"/>
        <v>#N/A</v>
      </c>
      <c r="C412" s="1">
        <v>412</v>
      </c>
      <c r="D412" s="1" t="s">
        <v>847</v>
      </c>
      <c r="E412" s="1" t="s">
        <v>848</v>
      </c>
    </row>
    <row r="413" spans="1:5" ht="25">
      <c r="A413" s="2">
        <f ca="1">IF(COUNTIF($AA$1:$BXX$24,413) = 0,RAND(),RAND()-1)</f>
        <v>0.68433052623660984</v>
      </c>
      <c r="B413" s="2" t="e">
        <f t="shared" ca="1" si="14"/>
        <v>#N/A</v>
      </c>
      <c r="C413" s="1">
        <v>413</v>
      </c>
      <c r="D413" s="1" t="s">
        <v>849</v>
      </c>
      <c r="E413" s="1" t="s">
        <v>850</v>
      </c>
    </row>
    <row r="414" spans="1:5" ht="25">
      <c r="A414" s="2">
        <f ca="1">IF(COUNTIF($AA$1:$BXX$24,414) = 0,RAND(),RAND()-1)</f>
        <v>0.44364064840145234</v>
      </c>
      <c r="B414" s="2" t="e">
        <f t="shared" ca="1" si="14"/>
        <v>#N/A</v>
      </c>
      <c r="C414" s="1">
        <v>414</v>
      </c>
      <c r="D414" s="1" t="s">
        <v>851</v>
      </c>
      <c r="E414" s="1" t="s">
        <v>852</v>
      </c>
    </row>
    <row r="415" spans="1:5" ht="25">
      <c r="A415" s="2">
        <f ca="1">IF(COUNTIF($AA$1:$BXX$24,415) = 0,RAND(),RAND()-1)</f>
        <v>0.14719749619084921</v>
      </c>
      <c r="B415" s="2" t="e">
        <f t="shared" ca="1" si="14"/>
        <v>#N/A</v>
      </c>
      <c r="C415" s="1">
        <v>415</v>
      </c>
      <c r="D415" s="1" t="s">
        <v>853</v>
      </c>
      <c r="E415" s="1" t="s">
        <v>854</v>
      </c>
    </row>
    <row r="416" spans="1:5" ht="25">
      <c r="A416" s="2">
        <f ca="1">IF(COUNTIF($AA$1:$BXX$24,416) = 0,RAND(),RAND()-1)</f>
        <v>5.1395601964280613E-2</v>
      </c>
      <c r="B416" s="2" t="e">
        <f t="shared" ca="1" si="14"/>
        <v>#N/A</v>
      </c>
      <c r="C416" s="1">
        <v>416</v>
      </c>
      <c r="D416" s="1" t="s">
        <v>855</v>
      </c>
      <c r="E416" s="1" t="s">
        <v>856</v>
      </c>
    </row>
    <row r="417" spans="1:5" ht="25">
      <c r="A417" s="2">
        <f ca="1">IF(COUNTIF($AA$1:$BXX$24,417) = 0,RAND(),RAND()-1)</f>
        <v>0.18434956121073798</v>
      </c>
      <c r="B417" s="2" t="e">
        <f t="shared" ca="1" si="14"/>
        <v>#N/A</v>
      </c>
      <c r="C417" s="1">
        <v>417</v>
      </c>
      <c r="D417" s="1" t="s">
        <v>857</v>
      </c>
      <c r="E417" s="1" t="s">
        <v>858</v>
      </c>
    </row>
    <row r="418" spans="1:5" ht="25">
      <c r="A418" s="2">
        <f ca="1">IF(COUNTIF($AA$1:$BXX$24,418) = 0,RAND(),RAND()-1)</f>
        <v>0.64072515784727369</v>
      </c>
      <c r="B418" s="2" t="e">
        <f t="shared" ca="1" si="14"/>
        <v>#N/A</v>
      </c>
      <c r="C418" s="1">
        <v>418</v>
      </c>
      <c r="D418" s="1" t="s">
        <v>859</v>
      </c>
      <c r="E418" s="1" t="s">
        <v>860</v>
      </c>
    </row>
    <row r="419" spans="1:5" ht="25">
      <c r="A419" s="2">
        <f ca="1">IF(COUNTIF($AA$1:$BXX$24,419) = 0,RAND(),RAND()-1)</f>
        <v>0.27447430171122467</v>
      </c>
      <c r="B419" s="2" t="e">
        <f t="shared" ca="1" si="14"/>
        <v>#N/A</v>
      </c>
      <c r="C419" s="1">
        <v>419</v>
      </c>
      <c r="D419" s="1" t="s">
        <v>861</v>
      </c>
      <c r="E419" s="1" t="s">
        <v>862</v>
      </c>
    </row>
    <row r="420" spans="1:5" ht="25">
      <c r="A420" s="2">
        <f ca="1">IF(COUNTIF($AA$1:$BXX$24,420) = 0,RAND(),RAND()-1)</f>
        <v>4.4946754813101064E-3</v>
      </c>
      <c r="B420" s="2" t="e">
        <f t="shared" ca="1" si="14"/>
        <v>#N/A</v>
      </c>
      <c r="C420" s="1">
        <v>420</v>
      </c>
      <c r="D420" s="1" t="s">
        <v>863</v>
      </c>
      <c r="E420" s="1" t="s">
        <v>864</v>
      </c>
    </row>
    <row r="421" spans="1:5" ht="25">
      <c r="A421" s="2">
        <f ca="1">IF(COUNTIF($AA$1:$BXX$24,421) = 0,RAND(),RAND()-1)</f>
        <v>8.3399138614923429E-2</v>
      </c>
      <c r="B421" s="2" t="e">
        <f t="shared" ca="1" si="14"/>
        <v>#N/A</v>
      </c>
      <c r="C421" s="1">
        <v>421</v>
      </c>
      <c r="D421" s="1" t="s">
        <v>865</v>
      </c>
      <c r="E421" s="1" t="s">
        <v>866</v>
      </c>
    </row>
    <row r="422" spans="1:5" ht="25">
      <c r="A422" s="2">
        <f ca="1">IF(COUNTIF($AA$1:$BXX$24,422) = 0,RAND(),RAND()-1)</f>
        <v>0.64239540868979661</v>
      </c>
      <c r="B422" s="2" t="e">
        <f t="shared" ca="1" si="14"/>
        <v>#N/A</v>
      </c>
      <c r="C422" s="1">
        <v>422</v>
      </c>
      <c r="D422" s="1" t="s">
        <v>867</v>
      </c>
      <c r="E422" s="1" t="s">
        <v>868</v>
      </c>
    </row>
    <row r="423" spans="1:5" ht="25">
      <c r="A423" s="2">
        <f ca="1">IF(COUNTIF($AA$1:$BXX$24,423) = 0,RAND(),RAND()-1)</f>
        <v>0.63273314704955896</v>
      </c>
      <c r="B423" s="2" t="e">
        <f t="shared" ca="1" si="14"/>
        <v>#N/A</v>
      </c>
      <c r="C423" s="1">
        <v>423</v>
      </c>
      <c r="D423" s="1" t="s">
        <v>869</v>
      </c>
      <c r="E423" s="1" t="s">
        <v>870</v>
      </c>
    </row>
    <row r="424" spans="1:5" ht="25">
      <c r="A424" s="2">
        <f ca="1">IF(COUNTIF($AA$1:$BXX$24,424) = 0,RAND(),RAND()-1)</f>
        <v>0.82018631093762462</v>
      </c>
      <c r="B424" s="2" t="e">
        <f t="shared" ca="1" si="14"/>
        <v>#N/A</v>
      </c>
      <c r="C424" s="1">
        <v>424</v>
      </c>
      <c r="D424" s="1" t="s">
        <v>871</v>
      </c>
      <c r="E424" s="1" t="s">
        <v>872</v>
      </c>
    </row>
    <row r="425" spans="1:5" ht="25">
      <c r="A425" s="2">
        <f ca="1">IF(COUNTIF($AA$1:$BXX$24,425) = 0,RAND(),RAND()-1)</f>
        <v>0.62612176096207162</v>
      </c>
      <c r="B425" s="2" t="e">
        <f t="shared" ca="1" si="14"/>
        <v>#N/A</v>
      </c>
      <c r="C425" s="1">
        <v>425</v>
      </c>
      <c r="D425" s="1" t="s">
        <v>873</v>
      </c>
      <c r="E425" s="1" t="s">
        <v>874</v>
      </c>
    </row>
    <row r="426" spans="1:5" ht="25">
      <c r="A426" s="2">
        <f ca="1">IF(COUNTIF($AA$1:$BXX$24,426) = 0,RAND(),RAND()-1)</f>
        <v>0.30354194900519293</v>
      </c>
      <c r="B426" s="2" t="e">
        <f t="shared" ca="1" si="14"/>
        <v>#N/A</v>
      </c>
      <c r="C426" s="1">
        <v>426</v>
      </c>
      <c r="D426" s="1" t="s">
        <v>875</v>
      </c>
      <c r="E426" s="1" t="s">
        <v>876</v>
      </c>
    </row>
    <row r="427" spans="1:5" ht="25">
      <c r="A427" s="2">
        <f ca="1">IF(COUNTIF($AA$1:$BXX$24,427) = 0,RAND(),RAND()-1)</f>
        <v>0.80823391491680396</v>
      </c>
      <c r="B427" s="2" t="e">
        <f t="shared" ca="1" si="14"/>
        <v>#N/A</v>
      </c>
      <c r="C427" s="1">
        <v>427</v>
      </c>
      <c r="D427" s="1" t="s">
        <v>877</v>
      </c>
      <c r="E427" s="1" t="s">
        <v>878</v>
      </c>
    </row>
    <row r="428" spans="1:5" ht="25">
      <c r="A428" s="2">
        <f ca="1">IF(COUNTIF($AA$1:$BXX$24,428) = 0,RAND(),RAND()-1)</f>
        <v>0.24355542382551842</v>
      </c>
      <c r="B428" s="2" t="e">
        <f t="shared" ca="1" si="14"/>
        <v>#N/A</v>
      </c>
      <c r="C428" s="1">
        <v>428</v>
      </c>
      <c r="D428" s="1" t="s">
        <v>879</v>
      </c>
      <c r="E428" s="1" t="s">
        <v>880</v>
      </c>
    </row>
    <row r="429" spans="1:5" ht="25">
      <c r="A429" s="2">
        <f ca="1">IF(COUNTIF($AA$1:$BXX$24,429) = 0,RAND(),RAND()-1)</f>
        <v>0.66993219939999926</v>
      </c>
      <c r="B429" s="2" t="e">
        <f t="shared" ca="1" si="14"/>
        <v>#N/A</v>
      </c>
      <c r="C429" s="1">
        <v>429</v>
      </c>
      <c r="D429" s="1" t="s">
        <v>881</v>
      </c>
      <c r="E429" s="1" t="s">
        <v>882</v>
      </c>
    </row>
    <row r="430" spans="1:5" ht="25">
      <c r="A430" s="2">
        <f ca="1">IF(COUNTIF($AA$1:$BXX$24,430) = 0,RAND(),RAND()-1)</f>
        <v>0.91175354919585982</v>
      </c>
      <c r="B430" s="2" t="e">
        <f t="shared" ca="1" si="14"/>
        <v>#N/A</v>
      </c>
      <c r="C430" s="1">
        <v>430</v>
      </c>
      <c r="D430" s="1" t="s">
        <v>883</v>
      </c>
      <c r="E430" s="1" t="s">
        <v>884</v>
      </c>
    </row>
    <row r="431" spans="1:5" ht="25">
      <c r="A431" s="2">
        <f ca="1">IF(COUNTIF($AA$1:$BXX$24,431) = 0,RAND(),RAND()-1)</f>
        <v>0.30187761410093161</v>
      </c>
      <c r="B431" s="2" t="e">
        <f t="shared" ca="1" si="14"/>
        <v>#N/A</v>
      </c>
      <c r="C431" s="1">
        <v>431</v>
      </c>
      <c r="D431" s="1" t="s">
        <v>885</v>
      </c>
      <c r="E431" s="1" t="s">
        <v>886</v>
      </c>
    </row>
    <row r="432" spans="1:5" ht="25">
      <c r="A432" s="2">
        <f ca="1">IF(COUNTIF($AA$1:$BXX$24,432) = 0,RAND(),RAND()-1)</f>
        <v>8.6226731527869194E-2</v>
      </c>
      <c r="B432" s="2" t="e">
        <f t="shared" ca="1" si="14"/>
        <v>#N/A</v>
      </c>
      <c r="C432" s="1">
        <v>432</v>
      </c>
      <c r="D432" s="1" t="s">
        <v>887</v>
      </c>
      <c r="E432" s="1" t="s">
        <v>888</v>
      </c>
    </row>
    <row r="433" spans="1:5" ht="25">
      <c r="A433" s="2">
        <f ca="1">IF(COUNTIF($AA$1:$BXX$24,433) = 0,RAND(),RAND()-1)</f>
        <v>0.42296243998819738</v>
      </c>
      <c r="B433" s="2" t="e">
        <f t="shared" ca="1" si="14"/>
        <v>#N/A</v>
      </c>
      <c r="C433" s="1">
        <v>433</v>
      </c>
      <c r="D433" s="1" t="s">
        <v>889</v>
      </c>
      <c r="E433" s="1" t="s">
        <v>890</v>
      </c>
    </row>
    <row r="434" spans="1:5" ht="25">
      <c r="A434" s="2">
        <f ca="1">IF(COUNTIF($AA$1:$BXX$24,434) = 0,RAND(),RAND()-1)</f>
        <v>0.50527279742294717</v>
      </c>
      <c r="B434" s="2" t="e">
        <f t="shared" ca="1" si="14"/>
        <v>#N/A</v>
      </c>
      <c r="C434" s="1">
        <v>434</v>
      </c>
      <c r="D434" s="1" t="s">
        <v>891</v>
      </c>
      <c r="E434" s="1" t="s">
        <v>892</v>
      </c>
    </row>
    <row r="435" spans="1:5" ht="25">
      <c r="A435" s="2">
        <f ca="1">IF(COUNTIF($AA$1:$BXX$24,435) = 0,RAND(),RAND()-1)</f>
        <v>0.49126219000962223</v>
      </c>
      <c r="B435" s="2" t="e">
        <f t="shared" ca="1" si="14"/>
        <v>#N/A</v>
      </c>
      <c r="C435" s="1">
        <v>435</v>
      </c>
      <c r="D435" s="1" t="s">
        <v>893</v>
      </c>
      <c r="E435" s="1" t="s">
        <v>894</v>
      </c>
    </row>
    <row r="436" spans="1:5" ht="25">
      <c r="A436" s="2">
        <f ca="1">IF(COUNTIF($AA$1:$BXX$24,436) = 0,RAND(),RAND()-1)</f>
        <v>0.84067407075206002</v>
      </c>
      <c r="B436" s="2" t="e">
        <f t="shared" ca="1" si="14"/>
        <v>#N/A</v>
      </c>
      <c r="C436" s="1">
        <v>436</v>
      </c>
      <c r="D436" s="1" t="s">
        <v>895</v>
      </c>
      <c r="E436" s="1" t="s">
        <v>896</v>
      </c>
    </row>
    <row r="437" spans="1:5" ht="25">
      <c r="A437" s="2">
        <f ca="1">IF(COUNTIF($AA$1:$BXX$24,437) = 0,RAND(),RAND()-1)</f>
        <v>0.62427320380814444</v>
      </c>
      <c r="B437" s="2" t="e">
        <f t="shared" ca="1" si="14"/>
        <v>#N/A</v>
      </c>
      <c r="C437" s="1">
        <v>437</v>
      </c>
      <c r="D437" s="1" t="s">
        <v>897</v>
      </c>
      <c r="E437" s="1" t="s">
        <v>898</v>
      </c>
    </row>
    <row r="438" spans="1:5" ht="25">
      <c r="A438" s="2">
        <f ca="1">IF(COUNTIF($AA$1:$BXX$24,438) = 0,RAND(),RAND()-1)</f>
        <v>0.28120085403901285</v>
      </c>
      <c r="B438" s="2" t="e">
        <f t="shared" ca="1" si="14"/>
        <v>#N/A</v>
      </c>
      <c r="C438" s="1">
        <v>438</v>
      </c>
      <c r="D438" s="1" t="s">
        <v>899</v>
      </c>
      <c r="E438" s="1" t="s">
        <v>900</v>
      </c>
    </row>
    <row r="439" spans="1:5" ht="25">
      <c r="A439" s="2">
        <f ca="1">IF(COUNTIF($AA$1:$BXX$24,439) = 0,RAND(),RAND()-1)</f>
        <v>0.28912333578946492</v>
      </c>
      <c r="B439" s="2" t="e">
        <f t="shared" ca="1" si="14"/>
        <v>#N/A</v>
      </c>
      <c r="C439" s="1">
        <v>439</v>
      </c>
      <c r="D439" s="1" t="s">
        <v>901</v>
      </c>
      <c r="E439" s="1" t="s">
        <v>902</v>
      </c>
    </row>
    <row r="440" spans="1:5" ht="25">
      <c r="A440" s="2">
        <f ca="1">IF(COUNTIF($AA$1:$BXX$24,440) = 0,RAND(),RAND()-1)</f>
        <v>0.69474514510622531</v>
      </c>
      <c r="B440" s="2" t="e">
        <f t="shared" ca="1" si="14"/>
        <v>#N/A</v>
      </c>
      <c r="C440" s="1">
        <v>440</v>
      </c>
      <c r="D440" s="1" t="s">
        <v>903</v>
      </c>
      <c r="E440" s="1" t="s">
        <v>904</v>
      </c>
    </row>
    <row r="441" spans="1:5" ht="25">
      <c r="A441" s="2">
        <f ca="1">IF(COUNTIF($AA$1:$BXX$24,441) = 0,RAND(),RAND()-1)</f>
        <v>0.13370232768318457</v>
      </c>
      <c r="B441" s="2" t="e">
        <f t="shared" ca="1" si="14"/>
        <v>#N/A</v>
      </c>
      <c r="C441" s="1">
        <v>441</v>
      </c>
      <c r="D441" s="1" t="s">
        <v>905</v>
      </c>
      <c r="E441" s="1" t="s">
        <v>906</v>
      </c>
    </row>
    <row r="442" spans="1:5" ht="25">
      <c r="A442" s="2">
        <f ca="1">IF(COUNTIF($AA$1:$BXX$24,442) = 0,RAND(),RAND()-1)</f>
        <v>0.69022525309995475</v>
      </c>
      <c r="B442" s="2" t="e">
        <f t="shared" ca="1" si="14"/>
        <v>#N/A</v>
      </c>
      <c r="C442" s="1">
        <v>442</v>
      </c>
      <c r="D442" s="1" t="s">
        <v>907</v>
      </c>
      <c r="E442" s="1" t="s">
        <v>908</v>
      </c>
    </row>
    <row r="443" spans="1:5" ht="25">
      <c r="A443" s="2">
        <f ca="1">IF(COUNTIF($AA$1:$BXX$24,443) = 0,RAND(),RAND()-1)</f>
        <v>0.67266828681303581</v>
      </c>
      <c r="B443" s="2" t="e">
        <f t="shared" ca="1" si="14"/>
        <v>#N/A</v>
      </c>
      <c r="C443" s="1">
        <v>443</v>
      </c>
      <c r="D443" s="1" t="s">
        <v>909</v>
      </c>
      <c r="E443" s="1" t="s">
        <v>910</v>
      </c>
    </row>
    <row r="444" spans="1:5" ht="25">
      <c r="A444" s="2">
        <f ca="1">IF(COUNTIF($AA$1:$BXX$24,444) = 0,RAND(),RAND()-1)</f>
        <v>0.56021337363713641</v>
      </c>
      <c r="B444" s="2" t="e">
        <f t="shared" ca="1" si="14"/>
        <v>#N/A</v>
      </c>
      <c r="C444" s="1">
        <v>444</v>
      </c>
      <c r="D444" s="1" t="s">
        <v>911</v>
      </c>
      <c r="E444" s="1" t="s">
        <v>912</v>
      </c>
    </row>
    <row r="445" spans="1:5" ht="25">
      <c r="A445" s="2">
        <f ca="1">IF(COUNTIF($AA$1:$BXX$24,445) = 0,RAND(),RAND()-1)</f>
        <v>0.4115631851504008</v>
      </c>
      <c r="B445" s="2" t="e">
        <f t="shared" ca="1" si="14"/>
        <v>#N/A</v>
      </c>
      <c r="C445" s="1">
        <v>445</v>
      </c>
      <c r="D445" s="1" t="s">
        <v>913</v>
      </c>
      <c r="E445" s="1" t="s">
        <v>914</v>
      </c>
    </row>
    <row r="446" spans="1:5" ht="25">
      <c r="A446" s="2">
        <f ca="1">IF(COUNTIF($AA$1:$BXX$24,446) = 0,RAND(),RAND()-1)</f>
        <v>0.22045993919461992</v>
      </c>
      <c r="B446" s="2" t="e">
        <f t="shared" ca="1" si="14"/>
        <v>#N/A</v>
      </c>
      <c r="C446" s="1">
        <v>446</v>
      </c>
      <c r="D446" s="1" t="s">
        <v>915</v>
      </c>
      <c r="E446" s="1" t="s">
        <v>916</v>
      </c>
    </row>
    <row r="447" spans="1:5" ht="25">
      <c r="A447" s="2">
        <f ca="1">IF(COUNTIF($AA$1:$BXX$24,447) = 0,RAND(),RAND()-1)</f>
        <v>0.54590605895785616</v>
      </c>
      <c r="B447" s="2" t="e">
        <f t="shared" ca="1" si="14"/>
        <v>#N/A</v>
      </c>
      <c r="C447" s="1">
        <v>447</v>
      </c>
      <c r="D447" s="1" t="s">
        <v>917</v>
      </c>
      <c r="E447" s="1" t="s">
        <v>918</v>
      </c>
    </row>
    <row r="448" spans="1:5" ht="25">
      <c r="A448" s="2">
        <f ca="1">IF(COUNTIF($AA$1:$BXX$24,448) = 0,RAND(),RAND()-1)</f>
        <v>0.27281413327566362</v>
      </c>
      <c r="B448" s="2" t="e">
        <f t="shared" ca="1" si="14"/>
        <v>#N/A</v>
      </c>
      <c r="C448" s="1">
        <v>448</v>
      </c>
      <c r="D448" s="1" t="s">
        <v>919</v>
      </c>
      <c r="E448" s="1" t="s">
        <v>920</v>
      </c>
    </row>
    <row r="449" spans="1:5" ht="25">
      <c r="A449" s="2">
        <f ca="1">IF(COUNTIF($AA$1:$BXX$24,449) = 0,RAND(),RAND()-1)</f>
        <v>8.5780921602393034E-2</v>
      </c>
      <c r="B449" s="2" t="e">
        <f t="shared" ref="B449:B512" ca="1" si="15">RANK(A449,OFFSET($A$1,$G$1-1,0,$G$2-$G$1+1))</f>
        <v>#N/A</v>
      </c>
      <c r="C449" s="1">
        <v>449</v>
      </c>
      <c r="D449" s="1" t="s">
        <v>921</v>
      </c>
      <c r="E449" s="1" t="s">
        <v>922</v>
      </c>
    </row>
    <row r="450" spans="1:5" ht="25">
      <c r="A450" s="2">
        <f ca="1">IF(COUNTIF($AA$1:$BXX$24,450) = 0,RAND(),RAND()-1)</f>
        <v>0.33619087767069566</v>
      </c>
      <c r="B450" s="2" t="e">
        <f t="shared" ca="1" si="15"/>
        <v>#N/A</v>
      </c>
      <c r="C450" s="1">
        <v>450</v>
      </c>
      <c r="D450" s="1" t="s">
        <v>923</v>
      </c>
      <c r="E450" s="1" t="s">
        <v>924</v>
      </c>
    </row>
    <row r="451" spans="1:5" ht="25">
      <c r="A451" s="2">
        <f ca="1">IF(COUNTIF($AA$1:$BXX$24,451) = 0,RAND(),RAND()-1)</f>
        <v>4.7715738102150462E-2</v>
      </c>
      <c r="B451" s="2" t="e">
        <f t="shared" ca="1" si="15"/>
        <v>#N/A</v>
      </c>
      <c r="C451" s="1">
        <v>451</v>
      </c>
      <c r="D451" s="1" t="s">
        <v>925</v>
      </c>
      <c r="E451" s="1" t="s">
        <v>926</v>
      </c>
    </row>
    <row r="452" spans="1:5" ht="25">
      <c r="A452" s="2">
        <f ca="1">IF(COUNTIF($AA$1:$BXX$24,452) = 0,RAND(),RAND()-1)</f>
        <v>0.97819470295013755</v>
      </c>
      <c r="B452" s="2" t="e">
        <f t="shared" ca="1" si="15"/>
        <v>#N/A</v>
      </c>
      <c r="C452" s="1">
        <v>452</v>
      </c>
      <c r="D452" s="1" t="s">
        <v>927</v>
      </c>
      <c r="E452" s="1" t="s">
        <v>928</v>
      </c>
    </row>
    <row r="453" spans="1:5" ht="25">
      <c r="A453" s="2">
        <f ca="1">IF(COUNTIF($AA$1:$BXX$24,453) = 0,RAND(),RAND()-1)</f>
        <v>0.86733699188428959</v>
      </c>
      <c r="B453" s="2" t="e">
        <f t="shared" ca="1" si="15"/>
        <v>#N/A</v>
      </c>
      <c r="C453" s="1">
        <v>453</v>
      </c>
      <c r="D453" s="1" t="s">
        <v>929</v>
      </c>
      <c r="E453" s="1" t="s">
        <v>930</v>
      </c>
    </row>
    <row r="454" spans="1:5" ht="25">
      <c r="A454" s="2">
        <f ca="1">IF(COUNTIF($AA$1:$BXX$24,454) = 0,RAND(),RAND()-1)</f>
        <v>0.65207739157212974</v>
      </c>
      <c r="B454" s="2" t="e">
        <f t="shared" ca="1" si="15"/>
        <v>#N/A</v>
      </c>
      <c r="C454" s="1">
        <v>454</v>
      </c>
      <c r="D454" s="1" t="s">
        <v>931</v>
      </c>
      <c r="E454" s="1" t="s">
        <v>932</v>
      </c>
    </row>
    <row r="455" spans="1:5" ht="25">
      <c r="A455" s="2">
        <f ca="1">IF(COUNTIF($AA$1:$BXX$24,455) = 0,RAND(),RAND()-1)</f>
        <v>0.39311563795009041</v>
      </c>
      <c r="B455" s="2" t="e">
        <f t="shared" ca="1" si="15"/>
        <v>#N/A</v>
      </c>
      <c r="C455" s="1">
        <v>455</v>
      </c>
      <c r="D455" s="1" t="s">
        <v>933</v>
      </c>
      <c r="E455" s="1" t="s">
        <v>934</v>
      </c>
    </row>
    <row r="456" spans="1:5" ht="25">
      <c r="A456" s="2">
        <f ca="1">IF(COUNTIF($AA$1:$BXX$24,456) = 0,RAND(),RAND()-1)</f>
        <v>0.90691655339561938</v>
      </c>
      <c r="B456" s="2" t="e">
        <f t="shared" ca="1" si="15"/>
        <v>#N/A</v>
      </c>
      <c r="C456" s="1">
        <v>456</v>
      </c>
      <c r="D456" s="1" t="s">
        <v>935</v>
      </c>
      <c r="E456" s="1" t="s">
        <v>936</v>
      </c>
    </row>
    <row r="457" spans="1:5" ht="25">
      <c r="A457" s="2">
        <f ca="1">IF(COUNTIF($AA$1:$BXX$24,457) = 0,RAND(),RAND()-1)</f>
        <v>4.863205683907168E-2</v>
      </c>
      <c r="B457" s="2" t="e">
        <f t="shared" ca="1" si="15"/>
        <v>#N/A</v>
      </c>
      <c r="C457" s="1">
        <v>457</v>
      </c>
      <c r="D457" s="1" t="s">
        <v>937</v>
      </c>
      <c r="E457" s="1" t="s">
        <v>938</v>
      </c>
    </row>
    <row r="458" spans="1:5" ht="25">
      <c r="A458" s="2">
        <f ca="1">IF(COUNTIF($AA$1:$BXX$24,458) = 0,RAND(),RAND()-1)</f>
        <v>0.55508265613047258</v>
      </c>
      <c r="B458" s="2" t="e">
        <f t="shared" ca="1" si="15"/>
        <v>#N/A</v>
      </c>
      <c r="C458" s="1">
        <v>458</v>
      </c>
      <c r="D458" s="1" t="s">
        <v>939</v>
      </c>
      <c r="E458" s="1" t="s">
        <v>940</v>
      </c>
    </row>
    <row r="459" spans="1:5" ht="25">
      <c r="A459" s="2">
        <f ca="1">IF(COUNTIF($AA$1:$BXX$24,459) = 0,RAND(),RAND()-1)</f>
        <v>0.34557064523510128</v>
      </c>
      <c r="B459" s="2" t="e">
        <f t="shared" ca="1" si="15"/>
        <v>#N/A</v>
      </c>
      <c r="C459" s="1">
        <v>459</v>
      </c>
      <c r="D459" s="1" t="s">
        <v>941</v>
      </c>
      <c r="E459" s="1" t="s">
        <v>942</v>
      </c>
    </row>
    <row r="460" spans="1:5" ht="25">
      <c r="A460" s="2">
        <f ca="1">IF(COUNTIF($AA$1:$BXX$24,460) = 0,RAND(),RAND()-1)</f>
        <v>0.13606209619698384</v>
      </c>
      <c r="B460" s="2" t="e">
        <f t="shared" ca="1" si="15"/>
        <v>#N/A</v>
      </c>
      <c r="C460" s="1">
        <v>460</v>
      </c>
      <c r="D460" s="1" t="s">
        <v>943</v>
      </c>
      <c r="E460" s="1" t="s">
        <v>944</v>
      </c>
    </row>
    <row r="461" spans="1:5" ht="25">
      <c r="A461" s="2">
        <f ca="1">IF(COUNTIF($AA$1:$BXX$24,461) = 0,RAND(),RAND()-1)</f>
        <v>0.24299013450804818</v>
      </c>
      <c r="B461" s="2" t="e">
        <f t="shared" ca="1" si="15"/>
        <v>#N/A</v>
      </c>
      <c r="C461" s="1">
        <v>461</v>
      </c>
      <c r="D461" s="1" t="s">
        <v>945</v>
      </c>
      <c r="E461" s="1" t="s">
        <v>946</v>
      </c>
    </row>
    <row r="462" spans="1:5" ht="25">
      <c r="A462" s="2">
        <f ca="1">IF(COUNTIF($AA$1:$BXX$24,462) = 0,RAND(),RAND()-1)</f>
        <v>0.69771538722126114</v>
      </c>
      <c r="B462" s="2" t="e">
        <f t="shared" ca="1" si="15"/>
        <v>#N/A</v>
      </c>
      <c r="C462" s="1">
        <v>462</v>
      </c>
      <c r="D462" s="1" t="s">
        <v>947</v>
      </c>
      <c r="E462" s="1" t="s">
        <v>948</v>
      </c>
    </row>
    <row r="463" spans="1:5" ht="25">
      <c r="A463" s="2">
        <f ca="1">IF(COUNTIF($AA$1:$BXX$24,463) = 0,RAND(),RAND()-1)</f>
        <v>0.83214579291064761</v>
      </c>
      <c r="B463" s="2" t="e">
        <f t="shared" ca="1" si="15"/>
        <v>#N/A</v>
      </c>
      <c r="C463" s="1">
        <v>463</v>
      </c>
      <c r="D463" s="1" t="s">
        <v>949</v>
      </c>
      <c r="E463" s="1" t="s">
        <v>950</v>
      </c>
    </row>
    <row r="464" spans="1:5" ht="25">
      <c r="A464" s="2">
        <f ca="1">IF(COUNTIF($AA$1:$BXX$24,464) = 0,RAND(),RAND()-1)</f>
        <v>0.15137873416703473</v>
      </c>
      <c r="B464" s="2" t="e">
        <f t="shared" ca="1" si="15"/>
        <v>#N/A</v>
      </c>
      <c r="C464" s="1">
        <v>464</v>
      </c>
      <c r="D464" s="1" t="s">
        <v>951</v>
      </c>
      <c r="E464" s="1" t="s">
        <v>952</v>
      </c>
    </row>
    <row r="465" spans="1:5" ht="25">
      <c r="A465" s="2">
        <f ca="1">IF(COUNTIF($AA$1:$BXX$24,465) = 0,RAND(),RAND()-1)</f>
        <v>0.51160925533274637</v>
      </c>
      <c r="B465" s="2" t="e">
        <f t="shared" ca="1" si="15"/>
        <v>#N/A</v>
      </c>
      <c r="C465" s="1">
        <v>465</v>
      </c>
      <c r="D465" s="1" t="s">
        <v>953</v>
      </c>
      <c r="E465" s="1" t="s">
        <v>954</v>
      </c>
    </row>
    <row r="466" spans="1:5" ht="25">
      <c r="A466" s="2">
        <f ca="1">IF(COUNTIF($AA$1:$BXX$24,466) = 0,RAND(),RAND()-1)</f>
        <v>6.9502543591787092E-2</v>
      </c>
      <c r="B466" s="2" t="e">
        <f t="shared" ca="1" si="15"/>
        <v>#N/A</v>
      </c>
      <c r="C466" s="1">
        <v>466</v>
      </c>
      <c r="D466" s="1" t="s">
        <v>955</v>
      </c>
      <c r="E466" s="1" t="s">
        <v>956</v>
      </c>
    </row>
    <row r="467" spans="1:5" ht="25">
      <c r="A467" s="2">
        <f ca="1">IF(COUNTIF($AA$1:$BXX$24,467) = 0,RAND(),RAND()-1)</f>
        <v>2.7502204389990736E-2</v>
      </c>
      <c r="B467" s="2" t="e">
        <f t="shared" ca="1" si="15"/>
        <v>#N/A</v>
      </c>
      <c r="C467" s="1">
        <v>467</v>
      </c>
      <c r="D467" s="1" t="s">
        <v>957</v>
      </c>
      <c r="E467" s="1" t="s">
        <v>958</v>
      </c>
    </row>
    <row r="468" spans="1:5" ht="25">
      <c r="A468" s="2">
        <f ca="1">IF(COUNTIF($AA$1:$BXX$24,468) = 0,RAND(),RAND()-1)</f>
        <v>0.92125490792063414</v>
      </c>
      <c r="B468" s="2" t="e">
        <f t="shared" ca="1" si="15"/>
        <v>#N/A</v>
      </c>
      <c r="C468" s="1">
        <v>468</v>
      </c>
      <c r="D468" s="1" t="s">
        <v>959</v>
      </c>
      <c r="E468" s="1" t="s">
        <v>960</v>
      </c>
    </row>
    <row r="469" spans="1:5" ht="25">
      <c r="A469" s="2">
        <f ca="1">IF(COUNTIF($AA$1:$BXX$24,469) = 0,RAND(),RAND()-1)</f>
        <v>0.49871005994142392</v>
      </c>
      <c r="B469" s="2" t="e">
        <f t="shared" ca="1" si="15"/>
        <v>#N/A</v>
      </c>
      <c r="C469" s="1">
        <v>469</v>
      </c>
      <c r="D469" s="1" t="s">
        <v>961</v>
      </c>
      <c r="E469" s="1" t="s">
        <v>962</v>
      </c>
    </row>
    <row r="470" spans="1:5" ht="25">
      <c r="A470" s="2">
        <f ca="1">IF(COUNTIF($AA$1:$BXX$24,470) = 0,RAND(),RAND()-1)</f>
        <v>0.72644621477644267</v>
      </c>
      <c r="B470" s="2" t="e">
        <f t="shared" ca="1" si="15"/>
        <v>#N/A</v>
      </c>
      <c r="C470" s="1">
        <v>470</v>
      </c>
      <c r="D470" s="1" t="s">
        <v>963</v>
      </c>
      <c r="E470" s="1" t="s">
        <v>964</v>
      </c>
    </row>
    <row r="471" spans="1:5" ht="25">
      <c r="A471" s="2">
        <f ca="1">IF(COUNTIF($AA$1:$BXX$24,471) = 0,RAND(),RAND()-1)</f>
        <v>0.78931151145756973</v>
      </c>
      <c r="B471" s="2" t="e">
        <f t="shared" ca="1" si="15"/>
        <v>#N/A</v>
      </c>
      <c r="C471" s="1">
        <v>471</v>
      </c>
      <c r="D471" s="1" t="s">
        <v>965</v>
      </c>
      <c r="E471" s="1" t="s">
        <v>966</v>
      </c>
    </row>
    <row r="472" spans="1:5" ht="25">
      <c r="A472" s="2">
        <f ca="1">IF(COUNTIF($AA$1:$BXX$24,472) = 0,RAND(),RAND()-1)</f>
        <v>0.28908704091049053</v>
      </c>
      <c r="B472" s="2" t="e">
        <f t="shared" ca="1" si="15"/>
        <v>#N/A</v>
      </c>
      <c r="C472" s="1">
        <v>472</v>
      </c>
      <c r="D472" s="1" t="s">
        <v>967</v>
      </c>
      <c r="E472" s="1" t="s">
        <v>968</v>
      </c>
    </row>
    <row r="473" spans="1:5" ht="25">
      <c r="A473" s="2">
        <f ca="1">IF(COUNTIF($AA$1:$BXX$24,473) = 0,RAND(),RAND()-1)</f>
        <v>0.84443019588581103</v>
      </c>
      <c r="B473" s="2" t="e">
        <f t="shared" ca="1" si="15"/>
        <v>#N/A</v>
      </c>
      <c r="C473" s="1">
        <v>473</v>
      </c>
      <c r="D473" s="1" t="s">
        <v>969</v>
      </c>
      <c r="E473" s="1" t="s">
        <v>834</v>
      </c>
    </row>
    <row r="474" spans="1:5" ht="25">
      <c r="A474" s="2">
        <f ca="1">IF(COUNTIF($AA$1:$BXX$24,474) = 0,RAND(),RAND()-1)</f>
        <v>4.0848634436192466E-2</v>
      </c>
      <c r="B474" s="2" t="e">
        <f t="shared" ca="1" si="15"/>
        <v>#N/A</v>
      </c>
      <c r="C474" s="1">
        <v>474</v>
      </c>
      <c r="D474" s="1" t="s">
        <v>970</v>
      </c>
      <c r="E474" s="1" t="s">
        <v>971</v>
      </c>
    </row>
    <row r="475" spans="1:5" ht="25">
      <c r="A475" s="2">
        <f ca="1">IF(COUNTIF($AA$1:$BXX$24,475) = 0,RAND(),RAND()-1)</f>
        <v>0.83586639487676218</v>
      </c>
      <c r="B475" s="2" t="e">
        <f t="shared" ca="1" si="15"/>
        <v>#N/A</v>
      </c>
      <c r="C475" s="1">
        <v>475</v>
      </c>
      <c r="D475" s="1" t="s">
        <v>972</v>
      </c>
      <c r="E475" s="1" t="s">
        <v>973</v>
      </c>
    </row>
    <row r="476" spans="1:5" ht="25">
      <c r="A476" s="2">
        <f ca="1">IF(COUNTIF($AA$1:$BXX$24,476) = 0,RAND(),RAND()-1)</f>
        <v>0.5905548078115882</v>
      </c>
      <c r="B476" s="2" t="e">
        <f t="shared" ca="1" si="15"/>
        <v>#N/A</v>
      </c>
      <c r="C476" s="1">
        <v>476</v>
      </c>
      <c r="D476" s="1" t="s">
        <v>974</v>
      </c>
      <c r="E476" s="1" t="s">
        <v>975</v>
      </c>
    </row>
    <row r="477" spans="1:5" ht="25">
      <c r="A477" s="2">
        <f ca="1">IF(COUNTIF($AA$1:$BXX$24,477) = 0,RAND(),RAND()-1)</f>
        <v>0.37804331757955478</v>
      </c>
      <c r="B477" s="2" t="e">
        <f t="shared" ca="1" si="15"/>
        <v>#N/A</v>
      </c>
      <c r="C477" s="1">
        <v>477</v>
      </c>
      <c r="D477" s="1" t="s">
        <v>976</v>
      </c>
      <c r="E477" s="1" t="s">
        <v>977</v>
      </c>
    </row>
    <row r="478" spans="1:5" ht="25">
      <c r="A478" s="2">
        <f ca="1">IF(COUNTIF($AA$1:$BXX$24,478) = 0,RAND(),RAND()-1)</f>
        <v>0.47288822925782936</v>
      </c>
      <c r="B478" s="2" t="e">
        <f t="shared" ca="1" si="15"/>
        <v>#N/A</v>
      </c>
      <c r="C478" s="1">
        <v>478</v>
      </c>
      <c r="D478" s="1" t="s">
        <v>978</v>
      </c>
      <c r="E478" s="1" t="s">
        <v>979</v>
      </c>
    </row>
    <row r="479" spans="1:5" ht="25">
      <c r="A479" s="2">
        <f ca="1">IF(COUNTIF($AA$1:$BXX$24,479) = 0,RAND(),RAND()-1)</f>
        <v>0.81033589594857791</v>
      </c>
      <c r="B479" s="2" t="e">
        <f t="shared" ca="1" si="15"/>
        <v>#N/A</v>
      </c>
      <c r="C479" s="1">
        <v>479</v>
      </c>
      <c r="D479" s="1" t="s">
        <v>980</v>
      </c>
      <c r="E479" s="1" t="s">
        <v>981</v>
      </c>
    </row>
    <row r="480" spans="1:5" ht="25">
      <c r="A480" s="2">
        <f ca="1">IF(COUNTIF($AA$1:$BXX$24,480) = 0,RAND(),RAND()-1)</f>
        <v>0.29956424636124612</v>
      </c>
      <c r="B480" s="2" t="e">
        <f t="shared" ca="1" si="15"/>
        <v>#N/A</v>
      </c>
      <c r="C480" s="1">
        <v>480</v>
      </c>
      <c r="D480" s="1" t="s">
        <v>982</v>
      </c>
      <c r="E480" s="1" t="s">
        <v>983</v>
      </c>
    </row>
    <row r="481" spans="1:5" ht="25">
      <c r="A481" s="2">
        <f ca="1">IF(COUNTIF($AA$1:$BXX$24,481) = 0,RAND(),RAND()-1)</f>
        <v>0.33733539655218681</v>
      </c>
      <c r="B481" s="2" t="e">
        <f t="shared" ca="1" si="15"/>
        <v>#N/A</v>
      </c>
      <c r="C481" s="1">
        <v>481</v>
      </c>
      <c r="D481" s="1" t="s">
        <v>984</v>
      </c>
      <c r="E481" s="1" t="s">
        <v>985</v>
      </c>
    </row>
    <row r="482" spans="1:5" ht="25">
      <c r="A482" s="2">
        <f ca="1">IF(COUNTIF($AA$1:$BXX$24,482) = 0,RAND(),RAND()-1)</f>
        <v>0.71382515802477642</v>
      </c>
      <c r="B482" s="2" t="e">
        <f t="shared" ca="1" si="15"/>
        <v>#N/A</v>
      </c>
      <c r="C482" s="1">
        <v>482</v>
      </c>
      <c r="D482" s="1" t="s">
        <v>986</v>
      </c>
      <c r="E482" s="1" t="s">
        <v>987</v>
      </c>
    </row>
    <row r="483" spans="1:5" ht="25">
      <c r="A483" s="2">
        <f ca="1">IF(COUNTIF($AA$1:$BXX$24,483) = 0,RAND(),RAND()-1)</f>
        <v>0.60819241430367443</v>
      </c>
      <c r="B483" s="2" t="e">
        <f t="shared" ca="1" si="15"/>
        <v>#N/A</v>
      </c>
      <c r="C483" s="1">
        <v>483</v>
      </c>
      <c r="D483" s="1" t="s">
        <v>988</v>
      </c>
      <c r="E483" s="1" t="s">
        <v>989</v>
      </c>
    </row>
    <row r="484" spans="1:5" ht="25">
      <c r="A484" s="2">
        <f ca="1">IF(COUNTIF($AA$1:$BXX$24,484) = 0,RAND(),RAND()-1)</f>
        <v>0.27089154716072339</v>
      </c>
      <c r="B484" s="2" t="e">
        <f t="shared" ca="1" si="15"/>
        <v>#N/A</v>
      </c>
      <c r="C484" s="1">
        <v>484</v>
      </c>
      <c r="D484" s="1" t="s">
        <v>990</v>
      </c>
      <c r="E484" s="1" t="s">
        <v>991</v>
      </c>
    </row>
    <row r="485" spans="1:5" ht="25">
      <c r="A485" s="2">
        <f ca="1">IF(COUNTIF($AA$1:$BXX$24,485) = 0,RAND(),RAND()-1)</f>
        <v>0.74801528458765887</v>
      </c>
      <c r="B485" s="2" t="e">
        <f t="shared" ca="1" si="15"/>
        <v>#N/A</v>
      </c>
      <c r="C485" s="1">
        <v>485</v>
      </c>
      <c r="D485" s="1" t="s">
        <v>992</v>
      </c>
      <c r="E485" s="1" t="s">
        <v>993</v>
      </c>
    </row>
    <row r="486" spans="1:5" ht="25">
      <c r="A486" s="2">
        <f ca="1">IF(COUNTIF($AA$1:$BXX$24,486) = 0,RAND(),RAND()-1)</f>
        <v>9.6529754904750575E-2</v>
      </c>
      <c r="B486" s="2" t="e">
        <f t="shared" ca="1" si="15"/>
        <v>#N/A</v>
      </c>
      <c r="C486" s="1">
        <v>486</v>
      </c>
      <c r="D486" s="1" t="s">
        <v>994</v>
      </c>
      <c r="E486" s="1" t="s">
        <v>995</v>
      </c>
    </row>
    <row r="487" spans="1:5" ht="25">
      <c r="A487" s="2">
        <f ca="1">IF(COUNTIF($AA$1:$BXX$24,487) = 0,RAND(),RAND()-1)</f>
        <v>0.64241455718098017</v>
      </c>
      <c r="B487" s="2" t="e">
        <f t="shared" ca="1" si="15"/>
        <v>#N/A</v>
      </c>
      <c r="C487" s="1">
        <v>487</v>
      </c>
      <c r="D487" s="1" t="s">
        <v>996</v>
      </c>
      <c r="E487" s="1" t="s">
        <v>997</v>
      </c>
    </row>
    <row r="488" spans="1:5" ht="25">
      <c r="A488" s="2">
        <f ca="1">IF(COUNTIF($AA$1:$BXX$24,488) = 0,RAND(),RAND()-1)</f>
        <v>1.3076255704642326E-2</v>
      </c>
      <c r="B488" s="2" t="e">
        <f t="shared" ca="1" si="15"/>
        <v>#N/A</v>
      </c>
      <c r="C488" s="1">
        <v>488</v>
      </c>
      <c r="D488" s="1" t="s">
        <v>998</v>
      </c>
      <c r="E488" s="1" t="s">
        <v>999</v>
      </c>
    </row>
    <row r="489" spans="1:5" ht="25">
      <c r="A489" s="2">
        <f ca="1">IF(COUNTIF($AA$1:$BXX$24,489) = 0,RAND(),RAND()-1)</f>
        <v>0.62585133588331665</v>
      </c>
      <c r="B489" s="2" t="e">
        <f t="shared" ca="1" si="15"/>
        <v>#N/A</v>
      </c>
      <c r="C489" s="1">
        <v>489</v>
      </c>
      <c r="D489" s="1" t="s">
        <v>1000</v>
      </c>
      <c r="E489" s="1" t="s">
        <v>1001</v>
      </c>
    </row>
    <row r="490" spans="1:5" ht="25">
      <c r="A490" s="2">
        <f ca="1">IF(COUNTIF($AA$1:$BXX$24,490) = 0,RAND(),RAND()-1)</f>
        <v>0.50227436785832547</v>
      </c>
      <c r="B490" s="2" t="e">
        <f t="shared" ca="1" si="15"/>
        <v>#N/A</v>
      </c>
      <c r="C490" s="1">
        <v>490</v>
      </c>
      <c r="D490" s="1" t="s">
        <v>1002</v>
      </c>
      <c r="E490" s="1" t="s">
        <v>1003</v>
      </c>
    </row>
    <row r="491" spans="1:5" ht="25">
      <c r="A491" s="2">
        <f ca="1">IF(COUNTIF($AA$1:$BXX$24,491) = 0,RAND(),RAND()-1)</f>
        <v>0.4931683392185453</v>
      </c>
      <c r="B491" s="2" t="e">
        <f t="shared" ca="1" si="15"/>
        <v>#N/A</v>
      </c>
      <c r="C491" s="1">
        <v>491</v>
      </c>
      <c r="D491" s="1" t="s">
        <v>1004</v>
      </c>
      <c r="E491" s="1" t="s">
        <v>1005</v>
      </c>
    </row>
    <row r="492" spans="1:5" ht="25">
      <c r="A492" s="2">
        <f ca="1">IF(COUNTIF($AA$1:$BXX$24,492) = 0,RAND(),RAND()-1)</f>
        <v>0.86978054364815072</v>
      </c>
      <c r="B492" s="2" t="e">
        <f t="shared" ca="1" si="15"/>
        <v>#N/A</v>
      </c>
      <c r="C492" s="1">
        <v>492</v>
      </c>
      <c r="D492" s="1" t="s">
        <v>1006</v>
      </c>
      <c r="E492" s="1" t="s">
        <v>1007</v>
      </c>
    </row>
    <row r="493" spans="1:5" ht="25">
      <c r="A493" s="2">
        <f ca="1">IF(COUNTIF($AA$1:$BXX$24,493) = 0,RAND(),RAND()-1)</f>
        <v>0.51186780926149245</v>
      </c>
      <c r="B493" s="2" t="e">
        <f t="shared" ca="1" si="15"/>
        <v>#N/A</v>
      </c>
      <c r="C493" s="1">
        <v>493</v>
      </c>
      <c r="D493" s="1" t="s">
        <v>1008</v>
      </c>
      <c r="E493" s="1" t="s">
        <v>1009</v>
      </c>
    </row>
    <row r="494" spans="1:5" ht="25">
      <c r="A494" s="2">
        <f ca="1">IF(COUNTIF($AA$1:$BXX$24,494) = 0,RAND(),RAND()-1)</f>
        <v>0.43623319163432406</v>
      </c>
      <c r="B494" s="2" t="e">
        <f t="shared" ca="1" si="15"/>
        <v>#N/A</v>
      </c>
      <c r="C494" s="1">
        <v>494</v>
      </c>
      <c r="D494" s="1" t="s">
        <v>1010</v>
      </c>
      <c r="E494" s="1" t="s">
        <v>1011</v>
      </c>
    </row>
    <row r="495" spans="1:5" ht="25">
      <c r="A495" s="2">
        <f ca="1">IF(COUNTIF($AA$1:$BXX$24,495) = 0,RAND(),RAND()-1)</f>
        <v>0.61547493530496244</v>
      </c>
      <c r="B495" s="2" t="e">
        <f t="shared" ca="1" si="15"/>
        <v>#N/A</v>
      </c>
      <c r="C495" s="1">
        <v>495</v>
      </c>
      <c r="D495" s="1" t="s">
        <v>1012</v>
      </c>
      <c r="E495" s="1" t="s">
        <v>1013</v>
      </c>
    </row>
    <row r="496" spans="1:5" ht="25">
      <c r="A496" s="2">
        <f ca="1">IF(COUNTIF($AA$1:$BXX$24,496) = 0,RAND(),RAND()-1)</f>
        <v>0.2155671202874353</v>
      </c>
      <c r="B496" s="2" t="e">
        <f t="shared" ca="1" si="15"/>
        <v>#N/A</v>
      </c>
      <c r="C496" s="1">
        <v>496</v>
      </c>
      <c r="D496" s="1" t="s">
        <v>1014</v>
      </c>
      <c r="E496" s="1" t="s">
        <v>1015</v>
      </c>
    </row>
    <row r="497" spans="1:5" ht="25">
      <c r="A497" s="2">
        <f ca="1">IF(COUNTIF($AA$1:$BXX$24,497) = 0,RAND(),RAND()-1)</f>
        <v>0.13902228574878017</v>
      </c>
      <c r="B497" s="2" t="e">
        <f t="shared" ca="1" si="15"/>
        <v>#N/A</v>
      </c>
      <c r="C497" s="1">
        <v>497</v>
      </c>
      <c r="D497" s="1" t="s">
        <v>1016</v>
      </c>
      <c r="E497" s="1" t="s">
        <v>1017</v>
      </c>
    </row>
    <row r="498" spans="1:5" ht="25">
      <c r="A498" s="2">
        <f ca="1">IF(COUNTIF($AA$1:$BXX$24,498) = 0,RAND(),RAND()-1)</f>
        <v>0.72381688963865976</v>
      </c>
      <c r="B498" s="2" t="e">
        <f t="shared" ca="1" si="15"/>
        <v>#N/A</v>
      </c>
      <c r="C498" s="1">
        <v>498</v>
      </c>
      <c r="D498" s="1" t="s">
        <v>1018</v>
      </c>
      <c r="E498" s="1" t="s">
        <v>1019</v>
      </c>
    </row>
    <row r="499" spans="1:5" ht="25">
      <c r="A499" s="2">
        <f ca="1">IF(COUNTIF($AA$1:$BXX$24,499) = 0,RAND(),RAND()-1)</f>
        <v>0.73835458691651112</v>
      </c>
      <c r="B499" s="2" t="e">
        <f t="shared" ca="1" si="15"/>
        <v>#N/A</v>
      </c>
      <c r="C499" s="1">
        <v>499</v>
      </c>
      <c r="D499" s="1" t="s">
        <v>1020</v>
      </c>
      <c r="E499" s="1" t="s">
        <v>1021</v>
      </c>
    </row>
    <row r="500" spans="1:5" ht="25">
      <c r="A500" s="2">
        <f ca="1">IF(COUNTIF($AA$1:$BXX$24,500) = 0,RAND(),RAND()-1)</f>
        <v>0.58253178388034876</v>
      </c>
      <c r="B500" s="2" t="e">
        <f t="shared" ca="1" si="15"/>
        <v>#N/A</v>
      </c>
      <c r="C500" s="1">
        <v>500</v>
      </c>
      <c r="D500" s="1" t="s">
        <v>1022</v>
      </c>
      <c r="E500" s="1" t="s">
        <v>1023</v>
      </c>
    </row>
    <row r="501" spans="1:5" ht="25">
      <c r="A501" s="2">
        <f ca="1">IF(COUNTIF($AA$1:$BXX$24,501) = 0,RAND(),RAND()-1)</f>
        <v>0.84323711094045395</v>
      </c>
      <c r="B501" s="2" t="e">
        <f t="shared" ca="1" si="15"/>
        <v>#N/A</v>
      </c>
      <c r="C501" s="1">
        <v>501</v>
      </c>
      <c r="D501" s="1" t="s">
        <v>1024</v>
      </c>
      <c r="E501" s="1" t="s">
        <v>1025</v>
      </c>
    </row>
    <row r="502" spans="1:5" ht="25">
      <c r="A502" s="2">
        <f ca="1">IF(COUNTIF($AA$1:$BXX$24,502) = 0,RAND(),RAND()-1)</f>
        <v>0.64695727795665292</v>
      </c>
      <c r="B502" s="2" t="e">
        <f t="shared" ca="1" si="15"/>
        <v>#N/A</v>
      </c>
      <c r="C502" s="1">
        <v>502</v>
      </c>
      <c r="D502" s="1" t="s">
        <v>1026</v>
      </c>
      <c r="E502" s="1" t="s">
        <v>1027</v>
      </c>
    </row>
    <row r="503" spans="1:5" ht="25">
      <c r="A503" s="2">
        <f ca="1">IF(COUNTIF($AA$1:$BXX$24,503) = 0,RAND(),RAND()-1)</f>
        <v>0.25146534942187426</v>
      </c>
      <c r="B503" s="2" t="e">
        <f t="shared" ca="1" si="15"/>
        <v>#N/A</v>
      </c>
      <c r="C503" s="1">
        <v>503</v>
      </c>
      <c r="D503" s="1" t="s">
        <v>1028</v>
      </c>
      <c r="E503" s="1" t="s">
        <v>1029</v>
      </c>
    </row>
    <row r="504" spans="1:5" ht="25">
      <c r="A504" s="2">
        <f ca="1">IF(COUNTIF($AA$1:$BXX$24,504) = 0,RAND(),RAND()-1)</f>
        <v>0.81908796955862473</v>
      </c>
      <c r="B504" s="2" t="e">
        <f t="shared" ca="1" si="15"/>
        <v>#N/A</v>
      </c>
      <c r="C504" s="1">
        <v>504</v>
      </c>
      <c r="D504" s="1" t="s">
        <v>1030</v>
      </c>
      <c r="E504" s="1" t="s">
        <v>1031</v>
      </c>
    </row>
    <row r="505" spans="1:5" ht="25">
      <c r="A505" s="2">
        <f ca="1">IF(COUNTIF($AA$1:$BXX$24,505) = 0,RAND(),RAND()-1)</f>
        <v>0.88241501224334951</v>
      </c>
      <c r="B505" s="2" t="e">
        <f t="shared" ca="1" si="15"/>
        <v>#N/A</v>
      </c>
      <c r="C505" s="1">
        <v>505</v>
      </c>
      <c r="D505" s="1" t="s">
        <v>1032</v>
      </c>
      <c r="E505" s="1" t="s">
        <v>1033</v>
      </c>
    </row>
    <row r="506" spans="1:5" ht="25">
      <c r="A506" s="2">
        <f ca="1">IF(COUNTIF($AA$1:$BXX$24,506) = 0,RAND(),RAND()-1)</f>
        <v>0.62830138327631802</v>
      </c>
      <c r="B506" s="2" t="e">
        <f t="shared" ca="1" si="15"/>
        <v>#N/A</v>
      </c>
      <c r="C506" s="1">
        <v>506</v>
      </c>
      <c r="D506" s="1" t="s">
        <v>1034</v>
      </c>
      <c r="E506" s="1" t="s">
        <v>1035</v>
      </c>
    </row>
    <row r="507" spans="1:5" ht="25">
      <c r="A507" s="2">
        <f ca="1">IF(COUNTIF($AA$1:$BXX$24,507) = 0,RAND(),RAND()-1)</f>
        <v>0.33422959084548187</v>
      </c>
      <c r="B507" s="2" t="e">
        <f t="shared" ca="1" si="15"/>
        <v>#N/A</v>
      </c>
      <c r="C507" s="1">
        <v>507</v>
      </c>
      <c r="D507" s="1" t="s">
        <v>1036</v>
      </c>
      <c r="E507" s="1" t="s">
        <v>1037</v>
      </c>
    </row>
    <row r="508" spans="1:5" ht="25">
      <c r="A508" s="2">
        <f ca="1">IF(COUNTIF($AA$1:$BXX$24,508) = 0,RAND(),RAND()-1)</f>
        <v>0.85138735517615471</v>
      </c>
      <c r="B508" s="2" t="e">
        <f t="shared" ca="1" si="15"/>
        <v>#N/A</v>
      </c>
      <c r="C508" s="1">
        <v>508</v>
      </c>
      <c r="D508" s="1" t="s">
        <v>1038</v>
      </c>
      <c r="E508" s="1" t="s">
        <v>1039</v>
      </c>
    </row>
    <row r="509" spans="1:5" ht="25">
      <c r="A509" s="2">
        <f ca="1">IF(COUNTIF($AA$1:$BXX$24,509) = 0,RAND(),RAND()-1)</f>
        <v>0.77063996784827471</v>
      </c>
      <c r="B509" s="2" t="e">
        <f t="shared" ca="1" si="15"/>
        <v>#N/A</v>
      </c>
      <c r="C509" s="1">
        <v>509</v>
      </c>
      <c r="D509" s="1" t="s">
        <v>1040</v>
      </c>
      <c r="E509" s="1" t="s">
        <v>1041</v>
      </c>
    </row>
    <row r="510" spans="1:5" ht="25">
      <c r="A510" s="2">
        <f ca="1">IF(COUNTIF($AA$1:$BXX$24,510) = 0,RAND(),RAND()-1)</f>
        <v>0.56050665874656369</v>
      </c>
      <c r="B510" s="2" t="e">
        <f t="shared" ca="1" si="15"/>
        <v>#N/A</v>
      </c>
      <c r="C510" s="1">
        <v>510</v>
      </c>
      <c r="D510" s="1" t="s">
        <v>1042</v>
      </c>
      <c r="E510" s="1" t="s">
        <v>1043</v>
      </c>
    </row>
    <row r="511" spans="1:5" ht="25">
      <c r="A511" s="2">
        <f ca="1">IF(COUNTIF($AA$1:$BXX$24,511) = 0,RAND(),RAND()-1)</f>
        <v>0.10618348086860097</v>
      </c>
      <c r="B511" s="2" t="e">
        <f t="shared" ca="1" si="15"/>
        <v>#N/A</v>
      </c>
      <c r="C511" s="1">
        <v>511</v>
      </c>
      <c r="D511" s="1" t="s">
        <v>1044</v>
      </c>
      <c r="E511" s="1" t="s">
        <v>1045</v>
      </c>
    </row>
    <row r="512" spans="1:5" ht="25">
      <c r="A512" s="2">
        <f ca="1">IF(COUNTIF($AA$1:$BXX$24,512) = 0,RAND(),RAND()-1)</f>
        <v>0.94768965689523821</v>
      </c>
      <c r="B512" s="2" t="e">
        <f t="shared" ca="1" si="15"/>
        <v>#N/A</v>
      </c>
      <c r="C512" s="1">
        <v>512</v>
      </c>
      <c r="D512" s="1" t="s">
        <v>1046</v>
      </c>
      <c r="E512" s="1" t="s">
        <v>1047</v>
      </c>
    </row>
    <row r="513" spans="1:5" ht="25">
      <c r="A513" s="2">
        <f ca="1">IF(COUNTIF($AA$1:$BXX$24,513) = 0,RAND(),RAND()-1)</f>
        <v>0.29460575519953303</v>
      </c>
      <c r="B513" s="2" t="e">
        <f t="shared" ref="B513:B576" ca="1" si="16">RANK(A513,OFFSET($A$1,$G$1-1,0,$G$2-$G$1+1))</f>
        <v>#N/A</v>
      </c>
      <c r="C513" s="1">
        <v>513</v>
      </c>
      <c r="D513" s="1" t="s">
        <v>1048</v>
      </c>
      <c r="E513" s="1" t="s">
        <v>1049</v>
      </c>
    </row>
    <row r="514" spans="1:5" ht="25">
      <c r="A514" s="2">
        <f ca="1">IF(COUNTIF($AA$1:$BXX$24,514) = 0,RAND(),RAND()-1)</f>
        <v>0.49209464537178105</v>
      </c>
      <c r="B514" s="2" t="e">
        <f t="shared" ca="1" si="16"/>
        <v>#N/A</v>
      </c>
      <c r="C514" s="1">
        <v>514</v>
      </c>
      <c r="D514" s="1" t="s">
        <v>1050</v>
      </c>
      <c r="E514" s="1" t="s">
        <v>1051</v>
      </c>
    </row>
    <row r="515" spans="1:5" ht="25">
      <c r="A515" s="2">
        <f ca="1">IF(COUNTIF($AA$1:$BXX$24,515) = 0,RAND(),RAND()-1)</f>
        <v>0.15099879647328174</v>
      </c>
      <c r="B515" s="2" t="e">
        <f t="shared" ca="1" si="16"/>
        <v>#N/A</v>
      </c>
      <c r="C515" s="1">
        <v>515</v>
      </c>
      <c r="D515" s="1" t="s">
        <v>1052</v>
      </c>
      <c r="E515" s="1" t="s">
        <v>1053</v>
      </c>
    </row>
    <row r="516" spans="1:5" ht="25">
      <c r="A516" s="2">
        <f ca="1">IF(COUNTIF($AA$1:$BXX$24,516) = 0,RAND(),RAND()-1)</f>
        <v>9.4515395822366899E-2</v>
      </c>
      <c r="B516" s="2" t="e">
        <f t="shared" ca="1" si="16"/>
        <v>#N/A</v>
      </c>
      <c r="C516" s="1">
        <v>516</v>
      </c>
      <c r="D516" s="1" t="s">
        <v>1054</v>
      </c>
      <c r="E516" s="1" t="s">
        <v>1055</v>
      </c>
    </row>
    <row r="517" spans="1:5" ht="25">
      <c r="A517" s="2">
        <f ca="1">IF(COUNTIF($AA$1:$BXX$24,517) = 0,RAND(),RAND()-1)</f>
        <v>0.41927876730864588</v>
      </c>
      <c r="B517" s="2" t="e">
        <f t="shared" ca="1" si="16"/>
        <v>#N/A</v>
      </c>
      <c r="C517" s="1">
        <v>517</v>
      </c>
      <c r="D517" s="1" t="s">
        <v>1056</v>
      </c>
      <c r="E517" s="1" t="s">
        <v>1057</v>
      </c>
    </row>
    <row r="518" spans="1:5" ht="25">
      <c r="A518" s="2">
        <f ca="1">IF(COUNTIF($AA$1:$BXX$24,518) = 0,RAND(),RAND()-1)</f>
        <v>0.23336861126651098</v>
      </c>
      <c r="B518" s="2" t="e">
        <f t="shared" ca="1" si="16"/>
        <v>#N/A</v>
      </c>
      <c r="C518" s="1">
        <v>518</v>
      </c>
      <c r="D518" s="1" t="s">
        <v>1058</v>
      </c>
      <c r="E518" s="1" t="s">
        <v>1059</v>
      </c>
    </row>
    <row r="519" spans="1:5" ht="25">
      <c r="A519" s="2">
        <f ca="1">IF(COUNTIF($AA$1:$BXX$24,519) = 0,RAND(),RAND()-1)</f>
        <v>0.52651006673359024</v>
      </c>
      <c r="B519" s="2" t="e">
        <f t="shared" ca="1" si="16"/>
        <v>#N/A</v>
      </c>
      <c r="C519" s="1">
        <v>519</v>
      </c>
      <c r="D519" s="1" t="s">
        <v>1060</v>
      </c>
      <c r="E519" s="1" t="s">
        <v>379</v>
      </c>
    </row>
    <row r="520" spans="1:5" ht="25">
      <c r="A520" s="2">
        <f ca="1">IF(COUNTIF($AA$1:$BXX$24,520) = 0,RAND(),RAND()-1)</f>
        <v>0.95644451861771684</v>
      </c>
      <c r="B520" s="2" t="e">
        <f t="shared" ca="1" si="16"/>
        <v>#N/A</v>
      </c>
      <c r="C520" s="1">
        <v>520</v>
      </c>
      <c r="D520" s="1" t="s">
        <v>1061</v>
      </c>
      <c r="E520" s="1" t="s">
        <v>1062</v>
      </c>
    </row>
    <row r="521" spans="1:5" ht="25">
      <c r="A521" s="2">
        <f ca="1">IF(COUNTIF($AA$1:$BXX$24,521) = 0,RAND(),RAND()-1)</f>
        <v>0.32422752764048302</v>
      </c>
      <c r="B521" s="2" t="e">
        <f t="shared" ca="1" si="16"/>
        <v>#N/A</v>
      </c>
      <c r="C521" s="1">
        <v>521</v>
      </c>
      <c r="D521" s="1" t="s">
        <v>1063</v>
      </c>
      <c r="E521" s="1" t="s">
        <v>1064</v>
      </c>
    </row>
    <row r="522" spans="1:5" ht="25">
      <c r="A522" s="2">
        <f ca="1">IF(COUNTIF($AA$1:$BXX$24,522) = 0,RAND(),RAND()-1)</f>
        <v>0.3626657703070495</v>
      </c>
      <c r="B522" s="2" t="e">
        <f t="shared" ca="1" si="16"/>
        <v>#N/A</v>
      </c>
      <c r="C522" s="1">
        <v>522</v>
      </c>
      <c r="D522" s="1" t="s">
        <v>1065</v>
      </c>
      <c r="E522" s="1" t="s">
        <v>1066</v>
      </c>
    </row>
    <row r="523" spans="1:5" ht="25">
      <c r="A523" s="2">
        <f ca="1">IF(COUNTIF($AA$1:$BXX$24,523) = 0,RAND(),RAND()-1)</f>
        <v>0.52849966884697364</v>
      </c>
      <c r="B523" s="2" t="e">
        <f t="shared" ca="1" si="16"/>
        <v>#N/A</v>
      </c>
      <c r="C523" s="1">
        <v>523</v>
      </c>
      <c r="D523" s="1" t="s">
        <v>1067</v>
      </c>
      <c r="E523" s="1" t="s">
        <v>1068</v>
      </c>
    </row>
    <row r="524" spans="1:5" ht="25">
      <c r="A524" s="2">
        <f ca="1">IF(COUNTIF($AA$1:$BXX$24,524) = 0,RAND(),RAND()-1)</f>
        <v>0.20644073535152296</v>
      </c>
      <c r="B524" s="2" t="e">
        <f t="shared" ca="1" si="16"/>
        <v>#N/A</v>
      </c>
      <c r="C524" s="1">
        <v>524</v>
      </c>
      <c r="D524" s="1" t="s">
        <v>1069</v>
      </c>
      <c r="E524" s="1" t="s">
        <v>1070</v>
      </c>
    </row>
    <row r="525" spans="1:5" ht="25">
      <c r="A525" s="2">
        <f ca="1">IF(COUNTIF($AA$1:$BXX$24,525) = 0,RAND(),RAND()-1)</f>
        <v>0.56342197512409675</v>
      </c>
      <c r="B525" s="2" t="e">
        <f t="shared" ca="1" si="16"/>
        <v>#N/A</v>
      </c>
      <c r="C525" s="1">
        <v>525</v>
      </c>
      <c r="D525" s="1" t="s">
        <v>1071</v>
      </c>
      <c r="E525" s="1" t="s">
        <v>1072</v>
      </c>
    </row>
    <row r="526" spans="1:5" ht="25">
      <c r="A526" s="2">
        <f ca="1">IF(COUNTIF($AA$1:$BXX$24,526) = 0,RAND(),RAND()-1)</f>
        <v>0.62671926537244715</v>
      </c>
      <c r="B526" s="2" t="e">
        <f t="shared" ca="1" si="16"/>
        <v>#N/A</v>
      </c>
      <c r="C526" s="1">
        <v>526</v>
      </c>
      <c r="D526" s="1" t="s">
        <v>1073</v>
      </c>
      <c r="E526" s="1" t="s">
        <v>1074</v>
      </c>
    </row>
    <row r="527" spans="1:5" ht="25">
      <c r="A527" s="2">
        <f ca="1">IF(COUNTIF($AA$1:$BXX$24,527) = 0,RAND(),RAND()-1)</f>
        <v>0.74740184248833585</v>
      </c>
      <c r="B527" s="2" t="e">
        <f t="shared" ca="1" si="16"/>
        <v>#N/A</v>
      </c>
      <c r="C527" s="1">
        <v>527</v>
      </c>
      <c r="D527" s="1" t="s">
        <v>1075</v>
      </c>
      <c r="E527" s="1" t="s">
        <v>1076</v>
      </c>
    </row>
    <row r="528" spans="1:5" ht="25">
      <c r="A528" s="2">
        <f ca="1">IF(COUNTIF($AA$1:$BXX$24,528) = 0,RAND(),RAND()-1)</f>
        <v>0.74457884679440411</v>
      </c>
      <c r="B528" s="2" t="e">
        <f t="shared" ca="1" si="16"/>
        <v>#N/A</v>
      </c>
      <c r="C528" s="1">
        <v>528</v>
      </c>
      <c r="D528" s="1" t="s">
        <v>1077</v>
      </c>
      <c r="E528" s="1" t="s">
        <v>1078</v>
      </c>
    </row>
    <row r="529" spans="1:5" ht="25">
      <c r="A529" s="2">
        <f ca="1">IF(COUNTIF($AA$1:$BXX$24,529) = 0,RAND(),RAND()-1)</f>
        <v>1.2041978046969937E-2</v>
      </c>
      <c r="B529" s="2" t="e">
        <f t="shared" ca="1" si="16"/>
        <v>#N/A</v>
      </c>
      <c r="C529" s="1">
        <v>529</v>
      </c>
      <c r="D529" s="1" t="s">
        <v>1079</v>
      </c>
      <c r="E529" s="1" t="s">
        <v>615</v>
      </c>
    </row>
    <row r="530" spans="1:5" ht="25">
      <c r="A530" s="2">
        <f ca="1">IF(COUNTIF($AA$1:$BXX$24,530) = 0,RAND(),RAND()-1)</f>
        <v>0.44634762183078625</v>
      </c>
      <c r="B530" s="2" t="e">
        <f t="shared" ca="1" si="16"/>
        <v>#N/A</v>
      </c>
      <c r="C530" s="1">
        <v>530</v>
      </c>
      <c r="D530" s="1" t="s">
        <v>1080</v>
      </c>
      <c r="E530" s="1" t="s">
        <v>1081</v>
      </c>
    </row>
    <row r="531" spans="1:5" ht="25">
      <c r="A531" s="2">
        <f ca="1">IF(COUNTIF($AA$1:$BXX$24,531) = 0,RAND(),RAND()-1)</f>
        <v>0.64445420908034079</v>
      </c>
      <c r="B531" s="2" t="e">
        <f t="shared" ca="1" si="16"/>
        <v>#N/A</v>
      </c>
      <c r="C531" s="1">
        <v>531</v>
      </c>
      <c r="D531" s="1" t="s">
        <v>1082</v>
      </c>
      <c r="E531" s="1" t="s">
        <v>1083</v>
      </c>
    </row>
    <row r="532" spans="1:5" ht="25">
      <c r="A532" s="2">
        <f ca="1">IF(COUNTIF($AA$1:$BXX$24,532) = 0,RAND(),RAND()-1)</f>
        <v>0.66079058370624177</v>
      </c>
      <c r="B532" s="2" t="e">
        <f t="shared" ca="1" si="16"/>
        <v>#N/A</v>
      </c>
      <c r="C532" s="1">
        <v>532</v>
      </c>
      <c r="D532" s="1" t="s">
        <v>1084</v>
      </c>
      <c r="E532" s="1" t="s">
        <v>1085</v>
      </c>
    </row>
    <row r="533" spans="1:5" ht="25">
      <c r="A533" s="2">
        <f ca="1">IF(COUNTIF($AA$1:$BXX$24,533) = 0,RAND(),RAND()-1)</f>
        <v>0.2585593620147828</v>
      </c>
      <c r="B533" s="2" t="e">
        <f t="shared" ca="1" si="16"/>
        <v>#N/A</v>
      </c>
      <c r="C533" s="1">
        <v>533</v>
      </c>
      <c r="D533" s="1" t="s">
        <v>1086</v>
      </c>
      <c r="E533" s="1" t="s">
        <v>1087</v>
      </c>
    </row>
    <row r="534" spans="1:5" ht="25">
      <c r="A534" s="2">
        <f ca="1">IF(COUNTIF($AA$1:$BXX$24,534) = 0,RAND(),RAND()-1)</f>
        <v>0.91804055729862788</v>
      </c>
      <c r="B534" s="2" t="e">
        <f t="shared" ca="1" si="16"/>
        <v>#N/A</v>
      </c>
      <c r="C534" s="1">
        <v>534</v>
      </c>
      <c r="D534" s="1" t="s">
        <v>1088</v>
      </c>
      <c r="E534" s="1" t="s">
        <v>1089</v>
      </c>
    </row>
    <row r="535" spans="1:5" ht="25">
      <c r="A535" s="2">
        <f ca="1">IF(COUNTIF($AA$1:$BXX$24,535) = 0,RAND(),RAND()-1)</f>
        <v>0.66792568584385104</v>
      </c>
      <c r="B535" s="2" t="e">
        <f t="shared" ca="1" si="16"/>
        <v>#N/A</v>
      </c>
      <c r="C535" s="1">
        <v>535</v>
      </c>
      <c r="D535" s="1" t="s">
        <v>1090</v>
      </c>
      <c r="E535" s="1" t="s">
        <v>1091</v>
      </c>
    </row>
    <row r="536" spans="1:5" ht="25">
      <c r="A536" s="2">
        <f ca="1">IF(COUNTIF($AA$1:$BXX$24,536) = 0,RAND(),RAND()-1)</f>
        <v>0.85057866742917987</v>
      </c>
      <c r="B536" s="2" t="e">
        <f t="shared" ca="1" si="16"/>
        <v>#N/A</v>
      </c>
      <c r="C536" s="1">
        <v>536</v>
      </c>
      <c r="D536" s="1" t="s">
        <v>1092</v>
      </c>
      <c r="E536" s="1" t="s">
        <v>1093</v>
      </c>
    </row>
    <row r="537" spans="1:5" ht="25">
      <c r="A537" s="2">
        <f ca="1">IF(COUNTIF($AA$1:$BXX$24,537) = 0,RAND(),RAND()-1)</f>
        <v>0.24368674658391409</v>
      </c>
      <c r="B537" s="2" t="e">
        <f t="shared" ca="1" si="16"/>
        <v>#N/A</v>
      </c>
      <c r="C537" s="1">
        <v>537</v>
      </c>
      <c r="D537" s="1" t="s">
        <v>1094</v>
      </c>
      <c r="E537" s="1" t="s">
        <v>1095</v>
      </c>
    </row>
    <row r="538" spans="1:5" ht="25">
      <c r="A538" s="2">
        <f ca="1">IF(COUNTIF($AA$1:$BXX$24,538) = 0,RAND(),RAND()-1)</f>
        <v>0.58245408776532381</v>
      </c>
      <c r="B538" s="2" t="e">
        <f t="shared" ca="1" si="16"/>
        <v>#N/A</v>
      </c>
      <c r="C538" s="1">
        <v>538</v>
      </c>
      <c r="D538" s="1" t="s">
        <v>1096</v>
      </c>
      <c r="E538" s="1" t="s">
        <v>1097</v>
      </c>
    </row>
    <row r="539" spans="1:5" ht="25">
      <c r="A539" s="2">
        <f ca="1">IF(COUNTIF($AA$1:$BXX$24,539) = 0,RAND(),RAND()-1)</f>
        <v>0.6374406052707603</v>
      </c>
      <c r="B539" s="2" t="e">
        <f t="shared" ca="1" si="16"/>
        <v>#N/A</v>
      </c>
      <c r="C539" s="1">
        <v>539</v>
      </c>
      <c r="D539" s="1" t="s">
        <v>1098</v>
      </c>
      <c r="E539" s="1" t="s">
        <v>1099</v>
      </c>
    </row>
    <row r="540" spans="1:5" ht="25">
      <c r="A540" s="2">
        <f ca="1">IF(COUNTIF($AA$1:$BXX$24,540) = 0,RAND(),RAND()-1)</f>
        <v>0.38573298748988205</v>
      </c>
      <c r="B540" s="2" t="e">
        <f t="shared" ca="1" si="16"/>
        <v>#N/A</v>
      </c>
      <c r="C540" s="1">
        <v>540</v>
      </c>
      <c r="D540" s="1" t="s">
        <v>1100</v>
      </c>
      <c r="E540" s="1" t="s">
        <v>1101</v>
      </c>
    </row>
    <row r="541" spans="1:5" ht="25">
      <c r="A541" s="2">
        <f ca="1">IF(COUNTIF($AA$1:$BXX$24,541) = 0,RAND(),RAND()-1)</f>
        <v>0.11391575470796422</v>
      </c>
      <c r="B541" s="2" t="e">
        <f t="shared" ca="1" si="16"/>
        <v>#N/A</v>
      </c>
      <c r="C541" s="1">
        <v>541</v>
      </c>
      <c r="D541" s="1" t="s">
        <v>1102</v>
      </c>
      <c r="E541" s="1" t="s">
        <v>1103</v>
      </c>
    </row>
    <row r="542" spans="1:5" ht="25">
      <c r="A542" s="2">
        <f ca="1">IF(COUNTIF($AA$1:$BXX$24,542) = 0,RAND(),RAND()-1)</f>
        <v>0.49402775167166824</v>
      </c>
      <c r="B542" s="2" t="e">
        <f t="shared" ca="1" si="16"/>
        <v>#N/A</v>
      </c>
      <c r="C542" s="1">
        <v>542</v>
      </c>
      <c r="D542" s="1" t="s">
        <v>1104</v>
      </c>
      <c r="E542" s="1" t="s">
        <v>1105</v>
      </c>
    </row>
    <row r="543" spans="1:5" ht="25">
      <c r="A543" s="2">
        <f ca="1">IF(COUNTIF($AA$1:$BXX$24,543) = 0,RAND(),RAND()-1)</f>
        <v>2.9015437837934588E-2</v>
      </c>
      <c r="B543" s="2" t="e">
        <f t="shared" ca="1" si="16"/>
        <v>#N/A</v>
      </c>
      <c r="C543" s="1">
        <v>543</v>
      </c>
      <c r="D543" s="1" t="s">
        <v>1106</v>
      </c>
      <c r="E543" s="1" t="s">
        <v>1107</v>
      </c>
    </row>
    <row r="544" spans="1:5" ht="25">
      <c r="A544" s="2">
        <f ca="1">IF(COUNTIF($AA$1:$BXX$24,544) = 0,RAND(),RAND()-1)</f>
        <v>0.84065044950968337</v>
      </c>
      <c r="B544" s="2" t="e">
        <f t="shared" ca="1" si="16"/>
        <v>#N/A</v>
      </c>
      <c r="C544" s="1">
        <v>544</v>
      </c>
      <c r="D544" s="1" t="s">
        <v>1108</v>
      </c>
      <c r="E544" s="1" t="s">
        <v>1109</v>
      </c>
    </row>
    <row r="545" spans="1:5" ht="25">
      <c r="A545" s="2">
        <f ca="1">IF(COUNTIF($AA$1:$BXX$24,545) = 0,RAND(),RAND()-1)</f>
        <v>0.54091222139288797</v>
      </c>
      <c r="B545" s="2" t="e">
        <f t="shared" ca="1" si="16"/>
        <v>#N/A</v>
      </c>
      <c r="C545" s="1">
        <v>545</v>
      </c>
      <c r="D545" s="1" t="s">
        <v>1110</v>
      </c>
      <c r="E545" s="1" t="s">
        <v>1111</v>
      </c>
    </row>
    <row r="546" spans="1:5" ht="25">
      <c r="A546" s="2">
        <f ca="1">IF(COUNTIF($AA$1:$BXX$24,546) = 0,RAND(),RAND()-1)</f>
        <v>0.92291510060343707</v>
      </c>
      <c r="B546" s="2" t="e">
        <f t="shared" ca="1" si="16"/>
        <v>#N/A</v>
      </c>
      <c r="C546" s="1">
        <v>546</v>
      </c>
      <c r="D546" s="1" t="s">
        <v>1112</v>
      </c>
      <c r="E546" s="1" t="s">
        <v>1113</v>
      </c>
    </row>
    <row r="547" spans="1:5" ht="25">
      <c r="A547" s="2">
        <f ca="1">IF(COUNTIF($AA$1:$BXX$24,547) = 0,RAND(),RAND()-1)</f>
        <v>6.7748739095104371E-2</v>
      </c>
      <c r="B547" s="2" t="e">
        <f t="shared" ca="1" si="16"/>
        <v>#N/A</v>
      </c>
      <c r="C547" s="1">
        <v>547</v>
      </c>
      <c r="D547" s="1" t="s">
        <v>1114</v>
      </c>
      <c r="E547" s="1" t="s">
        <v>1115</v>
      </c>
    </row>
    <row r="548" spans="1:5" ht="25">
      <c r="A548" s="2">
        <f ca="1">IF(COUNTIF($AA$1:$BXX$24,548) = 0,RAND(),RAND()-1)</f>
        <v>0.15202604594870528</v>
      </c>
      <c r="B548" s="2" t="e">
        <f t="shared" ca="1" si="16"/>
        <v>#N/A</v>
      </c>
      <c r="C548" s="1">
        <v>548</v>
      </c>
      <c r="D548" s="1" t="s">
        <v>1116</v>
      </c>
      <c r="E548" s="1" t="s">
        <v>578</v>
      </c>
    </row>
    <row r="549" spans="1:5" ht="25">
      <c r="A549" s="2">
        <f ca="1">IF(COUNTIF($AA$1:$BXX$24,549) = 0,RAND(),RAND()-1)</f>
        <v>0.70018947215634797</v>
      </c>
      <c r="B549" s="2" t="e">
        <f t="shared" ca="1" si="16"/>
        <v>#N/A</v>
      </c>
      <c r="C549" s="1">
        <v>549</v>
      </c>
      <c r="D549" s="1" t="s">
        <v>1117</v>
      </c>
      <c r="E549" s="1" t="s">
        <v>1118</v>
      </c>
    </row>
    <row r="550" spans="1:5" ht="25">
      <c r="A550" s="2">
        <f ca="1">IF(COUNTIF($AA$1:$BXX$24,550) = 0,RAND(),RAND()-1)</f>
        <v>0.77542732702165074</v>
      </c>
      <c r="B550" s="2" t="e">
        <f t="shared" ca="1" si="16"/>
        <v>#N/A</v>
      </c>
      <c r="C550" s="1">
        <v>550</v>
      </c>
      <c r="D550" s="1" t="s">
        <v>1119</v>
      </c>
      <c r="E550" s="1" t="s">
        <v>1120</v>
      </c>
    </row>
    <row r="551" spans="1:5" ht="25">
      <c r="A551" s="2">
        <f ca="1">IF(COUNTIF($AA$1:$BXX$24,551) = 0,RAND(),RAND()-1)</f>
        <v>0.18707014146228351</v>
      </c>
      <c r="B551" s="2" t="e">
        <f t="shared" ca="1" si="16"/>
        <v>#N/A</v>
      </c>
      <c r="C551" s="1">
        <v>551</v>
      </c>
      <c r="D551" s="1" t="s">
        <v>1121</v>
      </c>
      <c r="E551" s="1" t="s">
        <v>1122</v>
      </c>
    </row>
    <row r="552" spans="1:5" ht="25">
      <c r="A552" s="2">
        <f ca="1">IF(COUNTIF($AA$1:$BXX$24,552) = 0,RAND(),RAND()-1)</f>
        <v>0.22049268437030523</v>
      </c>
      <c r="B552" s="2" t="e">
        <f t="shared" ca="1" si="16"/>
        <v>#N/A</v>
      </c>
      <c r="C552" s="1">
        <v>552</v>
      </c>
      <c r="D552" s="1" t="s">
        <v>1123</v>
      </c>
      <c r="E552" s="1" t="s">
        <v>562</v>
      </c>
    </row>
    <row r="553" spans="1:5" ht="25">
      <c r="A553" s="2">
        <f ca="1">IF(COUNTIF($AA$1:$BXX$24,553) = 0,RAND(),RAND()-1)</f>
        <v>0.36755961887786548</v>
      </c>
      <c r="B553" s="2" t="e">
        <f t="shared" ca="1" si="16"/>
        <v>#N/A</v>
      </c>
      <c r="C553" s="1">
        <v>553</v>
      </c>
      <c r="D553" s="1" t="s">
        <v>1124</v>
      </c>
      <c r="E553" s="1" t="s">
        <v>1125</v>
      </c>
    </row>
    <row r="554" spans="1:5" ht="25">
      <c r="A554" s="2">
        <f ca="1">IF(COUNTIF($AA$1:$BXX$24,554) = 0,RAND(),RAND()-1)</f>
        <v>0.97664412864084316</v>
      </c>
      <c r="B554" s="2" t="e">
        <f t="shared" ca="1" si="16"/>
        <v>#N/A</v>
      </c>
      <c r="C554" s="1">
        <v>554</v>
      </c>
      <c r="D554" s="1" t="s">
        <v>1126</v>
      </c>
      <c r="E554" s="1" t="s">
        <v>1127</v>
      </c>
    </row>
    <row r="555" spans="1:5" ht="25">
      <c r="A555" s="2">
        <f ca="1">IF(COUNTIF($AA$1:$BXX$24,555) = 0,RAND(),RAND()-1)</f>
        <v>5.7981856435226575E-2</v>
      </c>
      <c r="B555" s="2" t="e">
        <f t="shared" ca="1" si="16"/>
        <v>#N/A</v>
      </c>
      <c r="C555" s="1">
        <v>555</v>
      </c>
      <c r="D555" s="1" t="s">
        <v>1128</v>
      </c>
      <c r="E555" s="1" t="s">
        <v>1129</v>
      </c>
    </row>
    <row r="556" spans="1:5" ht="25">
      <c r="A556" s="2">
        <f ca="1">IF(COUNTIF($AA$1:$BXX$24,556) = 0,RAND(),RAND()-1)</f>
        <v>0.29613826079269046</v>
      </c>
      <c r="B556" s="2" t="e">
        <f t="shared" ca="1" si="16"/>
        <v>#N/A</v>
      </c>
      <c r="C556" s="1">
        <v>556</v>
      </c>
      <c r="D556" s="1" t="s">
        <v>1130</v>
      </c>
      <c r="E556" s="1" t="s">
        <v>1131</v>
      </c>
    </row>
    <row r="557" spans="1:5" ht="25">
      <c r="A557" s="2">
        <f ca="1">IF(COUNTIF($AA$1:$BXX$24,557) = 0,RAND(),RAND()-1)</f>
        <v>0.43698120950421082</v>
      </c>
      <c r="B557" s="2" t="e">
        <f t="shared" ca="1" si="16"/>
        <v>#N/A</v>
      </c>
      <c r="C557" s="1">
        <v>557</v>
      </c>
      <c r="D557" s="1" t="s">
        <v>1132</v>
      </c>
      <c r="E557" s="1" t="s">
        <v>1133</v>
      </c>
    </row>
    <row r="558" spans="1:5" ht="25">
      <c r="A558" s="2">
        <f ca="1">IF(COUNTIF($AA$1:$BXX$24,558) = 0,RAND(),RAND()-1)</f>
        <v>0.40401814202971209</v>
      </c>
      <c r="B558" s="2" t="e">
        <f t="shared" ca="1" si="16"/>
        <v>#N/A</v>
      </c>
      <c r="C558" s="1">
        <v>558</v>
      </c>
      <c r="D558" s="1" t="s">
        <v>1134</v>
      </c>
      <c r="E558" s="1" t="s">
        <v>1135</v>
      </c>
    </row>
    <row r="559" spans="1:5" ht="25">
      <c r="A559" s="2">
        <f ca="1">IF(COUNTIF($AA$1:$BXX$24,559) = 0,RAND(),RAND()-1)</f>
        <v>0.46686315974544867</v>
      </c>
      <c r="B559" s="2" t="e">
        <f t="shared" ca="1" si="16"/>
        <v>#N/A</v>
      </c>
      <c r="C559" s="1">
        <v>559</v>
      </c>
      <c r="D559" s="1" t="s">
        <v>1136</v>
      </c>
      <c r="E559" s="1" t="s">
        <v>1137</v>
      </c>
    </row>
    <row r="560" spans="1:5" ht="25">
      <c r="A560" s="2">
        <f ca="1">IF(COUNTIF($AA$1:$BXX$24,560) = 0,RAND(),RAND()-1)</f>
        <v>0.49946382207292483</v>
      </c>
      <c r="B560" s="2" t="e">
        <f t="shared" ca="1" si="16"/>
        <v>#N/A</v>
      </c>
      <c r="C560" s="1">
        <v>560</v>
      </c>
      <c r="D560" s="1" t="s">
        <v>1138</v>
      </c>
      <c r="E560" s="1" t="s">
        <v>1139</v>
      </c>
    </row>
    <row r="561" spans="1:5" ht="25">
      <c r="A561" s="2">
        <f ca="1">IF(COUNTIF($AA$1:$BXX$24,561) = 0,RAND(),RAND()-1)</f>
        <v>0.44165660937968565</v>
      </c>
      <c r="B561" s="2" t="e">
        <f t="shared" ca="1" si="16"/>
        <v>#N/A</v>
      </c>
      <c r="C561" s="1">
        <v>561</v>
      </c>
      <c r="D561" s="1" t="s">
        <v>1140</v>
      </c>
      <c r="E561" s="1" t="s">
        <v>1141</v>
      </c>
    </row>
    <row r="562" spans="1:5" ht="25">
      <c r="A562" s="2">
        <f ca="1">IF(COUNTIF($AA$1:$BXX$24,562) = 0,RAND(),RAND()-1)</f>
        <v>0.11786668574291248</v>
      </c>
      <c r="B562" s="2" t="e">
        <f t="shared" ca="1" si="16"/>
        <v>#N/A</v>
      </c>
      <c r="C562" s="1">
        <v>562</v>
      </c>
      <c r="D562" s="1" t="s">
        <v>1142</v>
      </c>
      <c r="E562" s="1" t="s">
        <v>1143</v>
      </c>
    </row>
    <row r="563" spans="1:5" ht="25">
      <c r="A563" s="2">
        <f ca="1">IF(COUNTIF($AA$1:$BXX$24,563) = 0,RAND(),RAND()-1)</f>
        <v>0.20904391883709705</v>
      </c>
      <c r="B563" s="2" t="e">
        <f t="shared" ca="1" si="16"/>
        <v>#N/A</v>
      </c>
      <c r="C563" s="1">
        <v>563</v>
      </c>
      <c r="D563" s="1" t="s">
        <v>1144</v>
      </c>
      <c r="E563" s="1" t="s">
        <v>1145</v>
      </c>
    </row>
    <row r="564" spans="1:5" ht="25">
      <c r="A564" s="2">
        <f ca="1">IF(COUNTIF($AA$1:$BXX$24,564) = 0,RAND(),RAND()-1)</f>
        <v>0.42530187244552964</v>
      </c>
      <c r="B564" s="2" t="e">
        <f t="shared" ca="1" si="16"/>
        <v>#N/A</v>
      </c>
      <c r="C564" s="1">
        <v>564</v>
      </c>
      <c r="D564" s="1" t="s">
        <v>1146</v>
      </c>
      <c r="E564" s="1" t="s">
        <v>1147</v>
      </c>
    </row>
    <row r="565" spans="1:5" ht="25">
      <c r="A565" s="2">
        <f ca="1">IF(COUNTIF($AA$1:$BXX$24,565) = 0,RAND(),RAND()-1)</f>
        <v>0.74339553547848991</v>
      </c>
      <c r="B565" s="2" t="e">
        <f t="shared" ca="1" si="16"/>
        <v>#N/A</v>
      </c>
      <c r="C565" s="1">
        <v>565</v>
      </c>
      <c r="D565" s="1" t="s">
        <v>1148</v>
      </c>
      <c r="E565" s="1" t="s">
        <v>1149</v>
      </c>
    </row>
    <row r="566" spans="1:5" ht="25">
      <c r="A566" s="2">
        <f ca="1">IF(COUNTIF($AA$1:$BXX$24,566) = 0,RAND(),RAND()-1)</f>
        <v>0.69837359416708789</v>
      </c>
      <c r="B566" s="2" t="e">
        <f t="shared" ca="1" si="16"/>
        <v>#N/A</v>
      </c>
      <c r="C566" s="1">
        <v>566</v>
      </c>
      <c r="D566" s="1" t="s">
        <v>1150</v>
      </c>
      <c r="E566" s="1" t="s">
        <v>1151</v>
      </c>
    </row>
    <row r="567" spans="1:5" ht="25">
      <c r="A567" s="2">
        <f ca="1">IF(COUNTIF($AA$1:$BXX$24,567) = 0,RAND(),RAND()-1)</f>
        <v>0.12909225298747751</v>
      </c>
      <c r="B567" s="2" t="e">
        <f t="shared" ca="1" si="16"/>
        <v>#N/A</v>
      </c>
      <c r="C567" s="1">
        <v>567</v>
      </c>
      <c r="D567" s="1" t="s">
        <v>1152</v>
      </c>
      <c r="E567" s="1" t="s">
        <v>1053</v>
      </c>
    </row>
    <row r="568" spans="1:5" ht="25">
      <c r="A568" s="2">
        <f ca="1">IF(COUNTIF($AA$1:$BXX$24,568) = 0,RAND(),RAND()-1)</f>
        <v>0.76901510433378628</v>
      </c>
      <c r="B568" s="2" t="e">
        <f t="shared" ca="1" si="16"/>
        <v>#N/A</v>
      </c>
      <c r="C568" s="1">
        <v>568</v>
      </c>
      <c r="D568" s="1" t="s">
        <v>1153</v>
      </c>
      <c r="E568" s="1" t="s">
        <v>1154</v>
      </c>
    </row>
    <row r="569" spans="1:5" ht="25">
      <c r="A569" s="2">
        <f ca="1">IF(COUNTIF($AA$1:$BXX$24,569) = 0,RAND(),RAND()-1)</f>
        <v>0.94518598696075551</v>
      </c>
      <c r="B569" s="2" t="e">
        <f t="shared" ca="1" si="16"/>
        <v>#N/A</v>
      </c>
      <c r="C569" s="1">
        <v>569</v>
      </c>
      <c r="D569" s="1" t="s">
        <v>1155</v>
      </c>
      <c r="E569" s="1" t="s">
        <v>1156</v>
      </c>
    </row>
    <row r="570" spans="1:5" ht="25">
      <c r="A570" s="2">
        <f ca="1">IF(COUNTIF($AA$1:$BXX$24,570) = 0,RAND(),RAND()-1)</f>
        <v>0.81718847982579501</v>
      </c>
      <c r="B570" s="2" t="e">
        <f t="shared" ca="1" si="16"/>
        <v>#N/A</v>
      </c>
      <c r="C570" s="1">
        <v>570</v>
      </c>
      <c r="D570" s="1" t="s">
        <v>1157</v>
      </c>
      <c r="E570" s="1" t="s">
        <v>1158</v>
      </c>
    </row>
    <row r="571" spans="1:5" ht="25">
      <c r="A571" s="2">
        <f ca="1">IF(COUNTIF($AA$1:$BXX$24,571) = 0,RAND(),RAND()-1)</f>
        <v>0.77796751222910687</v>
      </c>
      <c r="B571" s="2" t="e">
        <f t="shared" ca="1" si="16"/>
        <v>#N/A</v>
      </c>
      <c r="C571" s="1">
        <v>571</v>
      </c>
      <c r="D571" s="1" t="s">
        <v>1159</v>
      </c>
      <c r="E571" s="1" t="s">
        <v>1160</v>
      </c>
    </row>
    <row r="572" spans="1:5" ht="25">
      <c r="A572" s="2">
        <f ca="1">IF(COUNTIF($AA$1:$BXX$24,572) = 0,RAND(),RAND()-1)</f>
        <v>0.42364984293175489</v>
      </c>
      <c r="B572" s="2" t="e">
        <f t="shared" ca="1" si="16"/>
        <v>#N/A</v>
      </c>
      <c r="C572" s="1">
        <v>572</v>
      </c>
      <c r="D572" s="1" t="s">
        <v>1161</v>
      </c>
      <c r="E572" s="1" t="s">
        <v>1162</v>
      </c>
    </row>
    <row r="573" spans="1:5" ht="25">
      <c r="A573" s="2">
        <f ca="1">IF(COUNTIF($AA$1:$BXX$24,573) = 0,RAND(),RAND()-1)</f>
        <v>0.12341155026572548</v>
      </c>
      <c r="B573" s="2" t="e">
        <f t="shared" ca="1" si="16"/>
        <v>#N/A</v>
      </c>
      <c r="C573" s="1">
        <v>573</v>
      </c>
      <c r="D573" s="1" t="s">
        <v>1163</v>
      </c>
      <c r="E573" s="1" t="s">
        <v>1164</v>
      </c>
    </row>
    <row r="574" spans="1:5" ht="25">
      <c r="A574" s="2">
        <f ca="1">IF(COUNTIF($AA$1:$BXX$24,574) = 0,RAND(),RAND()-1)</f>
        <v>0.94450763128110904</v>
      </c>
      <c r="B574" s="2" t="e">
        <f t="shared" ca="1" si="16"/>
        <v>#N/A</v>
      </c>
      <c r="C574" s="1">
        <v>574</v>
      </c>
      <c r="D574" s="1" t="s">
        <v>1165</v>
      </c>
      <c r="E574" s="1" t="s">
        <v>1166</v>
      </c>
    </row>
    <row r="575" spans="1:5" ht="25">
      <c r="A575" s="2">
        <f ca="1">IF(COUNTIF($AA$1:$BXX$24,575) = 0,RAND(),RAND()-1)</f>
        <v>0.7437329485906734</v>
      </c>
      <c r="B575" s="2" t="e">
        <f t="shared" ca="1" si="16"/>
        <v>#N/A</v>
      </c>
      <c r="C575" s="1">
        <v>575</v>
      </c>
      <c r="D575" s="1" t="s">
        <v>1167</v>
      </c>
      <c r="E575" s="1" t="s">
        <v>1168</v>
      </c>
    </row>
    <row r="576" spans="1:5" ht="25">
      <c r="A576" s="2">
        <f ca="1">IF(COUNTIF($AA$1:$BXX$24,576) = 0,RAND(),RAND()-1)</f>
        <v>0.74153806499624075</v>
      </c>
      <c r="B576" s="2" t="e">
        <f t="shared" ca="1" si="16"/>
        <v>#N/A</v>
      </c>
      <c r="C576" s="1">
        <v>576</v>
      </c>
      <c r="D576" s="1" t="s">
        <v>1169</v>
      </c>
      <c r="E576" s="1" t="s">
        <v>574</v>
      </c>
    </row>
    <row r="577" spans="1:5" ht="25">
      <c r="A577" s="2">
        <f ca="1">IF(COUNTIF($AA$1:$BXX$24,577) = 0,RAND(),RAND()-1)</f>
        <v>0.76414538975611157</v>
      </c>
      <c r="B577" s="2" t="e">
        <f t="shared" ref="B577:B640" ca="1" si="17">RANK(A577,OFFSET($A$1,$G$1-1,0,$G$2-$G$1+1))</f>
        <v>#N/A</v>
      </c>
      <c r="C577" s="1">
        <v>577</v>
      </c>
      <c r="D577" s="1" t="s">
        <v>1170</v>
      </c>
      <c r="E577" s="1" t="s">
        <v>1171</v>
      </c>
    </row>
    <row r="578" spans="1:5" ht="25">
      <c r="A578" s="2">
        <f ca="1">IF(COUNTIF($AA$1:$BXX$24,578) = 0,RAND(),RAND()-1)</f>
        <v>0.66633012243204548</v>
      </c>
      <c r="B578" s="2" t="e">
        <f t="shared" ca="1" si="17"/>
        <v>#N/A</v>
      </c>
      <c r="C578" s="1">
        <v>578</v>
      </c>
      <c r="D578" s="1" t="s">
        <v>1172</v>
      </c>
      <c r="E578" s="1" t="s">
        <v>1164</v>
      </c>
    </row>
    <row r="579" spans="1:5" ht="25">
      <c r="A579" s="2">
        <f ca="1">IF(COUNTIF($AA$1:$BXX$24,579) = 0,RAND(),RAND()-1)</f>
        <v>0.97539110338976176</v>
      </c>
      <c r="B579" s="2" t="e">
        <f t="shared" ca="1" si="17"/>
        <v>#N/A</v>
      </c>
      <c r="C579" s="1">
        <v>579</v>
      </c>
      <c r="D579" s="1" t="s">
        <v>1173</v>
      </c>
      <c r="E579" s="1" t="s">
        <v>1174</v>
      </c>
    </row>
    <row r="580" spans="1:5" ht="25">
      <c r="A580" s="2">
        <f ca="1">IF(COUNTIF($AA$1:$BXX$24,580) = 0,RAND(),RAND()-1)</f>
        <v>0.90503693963123011</v>
      </c>
      <c r="B580" s="2" t="e">
        <f t="shared" ca="1" si="17"/>
        <v>#N/A</v>
      </c>
      <c r="C580" s="1">
        <v>580</v>
      </c>
      <c r="D580" s="1" t="s">
        <v>1175</v>
      </c>
      <c r="E580" s="1" t="s">
        <v>1176</v>
      </c>
    </row>
    <row r="581" spans="1:5" ht="25">
      <c r="A581" s="2">
        <f ca="1">IF(COUNTIF($AA$1:$BXX$24,581) = 0,RAND(),RAND()-1)</f>
        <v>0.17352510896475848</v>
      </c>
      <c r="B581" s="2" t="e">
        <f t="shared" ca="1" si="17"/>
        <v>#N/A</v>
      </c>
      <c r="C581" s="1">
        <v>581</v>
      </c>
      <c r="D581" s="1" t="s">
        <v>1177</v>
      </c>
      <c r="E581" s="1" t="s">
        <v>1178</v>
      </c>
    </row>
    <row r="582" spans="1:5" ht="25">
      <c r="A582" s="2">
        <f ca="1">IF(COUNTIF($AA$1:$BXX$24,582) = 0,RAND(),RAND()-1)</f>
        <v>0.17691684244550421</v>
      </c>
      <c r="B582" s="2" t="e">
        <f t="shared" ca="1" si="17"/>
        <v>#N/A</v>
      </c>
      <c r="C582" s="1">
        <v>582</v>
      </c>
      <c r="D582" s="1" t="s">
        <v>1179</v>
      </c>
      <c r="E582" s="1" t="s">
        <v>1180</v>
      </c>
    </row>
    <row r="583" spans="1:5" ht="25">
      <c r="A583" s="2">
        <f ca="1">IF(COUNTIF($AA$1:$BXX$24,583) = 0,RAND(),RAND()-1)</f>
        <v>0.40930018446721173</v>
      </c>
      <c r="B583" s="2" t="e">
        <f t="shared" ca="1" si="17"/>
        <v>#N/A</v>
      </c>
      <c r="C583" s="1">
        <v>583</v>
      </c>
      <c r="D583" s="1" t="s">
        <v>1181</v>
      </c>
      <c r="E583" s="1" t="s">
        <v>1182</v>
      </c>
    </row>
    <row r="584" spans="1:5" ht="25">
      <c r="A584" s="2">
        <f ca="1">IF(COUNTIF($AA$1:$BXX$24,584) = 0,RAND(),RAND()-1)</f>
        <v>2.7436841483810981E-2</v>
      </c>
      <c r="B584" s="2" t="e">
        <f t="shared" ca="1" si="17"/>
        <v>#N/A</v>
      </c>
      <c r="C584" s="1">
        <v>584</v>
      </c>
      <c r="D584" s="1" t="s">
        <v>1183</v>
      </c>
      <c r="E584" s="1" t="s">
        <v>1184</v>
      </c>
    </row>
    <row r="585" spans="1:5" ht="25">
      <c r="A585" s="2">
        <f ca="1">IF(COUNTIF($AA$1:$BXX$24,585) = 0,RAND(),RAND()-1)</f>
        <v>0.52301050024339391</v>
      </c>
      <c r="B585" s="2" t="e">
        <f t="shared" ca="1" si="17"/>
        <v>#N/A</v>
      </c>
      <c r="C585" s="1">
        <v>585</v>
      </c>
      <c r="D585" s="1" t="s">
        <v>1185</v>
      </c>
      <c r="E585" s="1" t="s">
        <v>1186</v>
      </c>
    </row>
    <row r="586" spans="1:5" ht="25">
      <c r="A586" s="2">
        <f ca="1">IF(COUNTIF($AA$1:$BXX$24,586) = 0,RAND(),RAND()-1)</f>
        <v>0.20315074835019087</v>
      </c>
      <c r="B586" s="2" t="e">
        <f t="shared" ca="1" si="17"/>
        <v>#N/A</v>
      </c>
      <c r="C586" s="1">
        <v>586</v>
      </c>
      <c r="D586" s="1" t="s">
        <v>1187</v>
      </c>
      <c r="E586" s="1" t="s">
        <v>1188</v>
      </c>
    </row>
    <row r="587" spans="1:5" ht="25">
      <c r="A587" s="2">
        <f ca="1">IF(COUNTIF($AA$1:$BXX$24,587) = 0,RAND(),RAND()-1)</f>
        <v>9.5785367915200537E-2</v>
      </c>
      <c r="B587" s="2" t="e">
        <f t="shared" ca="1" si="17"/>
        <v>#N/A</v>
      </c>
      <c r="C587" s="1">
        <v>587</v>
      </c>
      <c r="D587" s="1" t="s">
        <v>1189</v>
      </c>
      <c r="E587" s="1" t="s">
        <v>1190</v>
      </c>
    </row>
    <row r="588" spans="1:5" ht="25">
      <c r="A588" s="2">
        <f ca="1">IF(COUNTIF($AA$1:$BXX$24,588) = 0,RAND(),RAND()-1)</f>
        <v>0.83797679351918231</v>
      </c>
      <c r="B588" s="2" t="e">
        <f t="shared" ca="1" si="17"/>
        <v>#N/A</v>
      </c>
      <c r="C588" s="1">
        <v>588</v>
      </c>
      <c r="D588" s="1" t="s">
        <v>1191</v>
      </c>
      <c r="E588" s="1" t="s">
        <v>1192</v>
      </c>
    </row>
    <row r="589" spans="1:5" ht="25">
      <c r="A589" s="2">
        <f ca="1">IF(COUNTIF($AA$1:$BXX$24,589) = 0,RAND(),RAND()-1)</f>
        <v>0.94117491580898438</v>
      </c>
      <c r="B589" s="2" t="e">
        <f t="shared" ca="1" si="17"/>
        <v>#N/A</v>
      </c>
      <c r="C589" s="1">
        <v>589</v>
      </c>
      <c r="D589" s="1" t="s">
        <v>1193</v>
      </c>
      <c r="E589" s="1" t="s">
        <v>1184</v>
      </c>
    </row>
    <row r="590" spans="1:5" ht="25">
      <c r="A590" s="2">
        <f ca="1">IF(COUNTIF($AA$1:$BXX$24,590) = 0,RAND(),RAND()-1)</f>
        <v>0.59867090302554227</v>
      </c>
      <c r="B590" s="2" t="e">
        <f t="shared" ca="1" si="17"/>
        <v>#N/A</v>
      </c>
      <c r="C590" s="1">
        <v>590</v>
      </c>
      <c r="D590" s="1" t="s">
        <v>1194</v>
      </c>
      <c r="E590" s="1" t="s">
        <v>1195</v>
      </c>
    </row>
    <row r="591" spans="1:5" ht="25">
      <c r="A591" s="2">
        <f ca="1">IF(COUNTIF($AA$1:$BXX$24,591) = 0,RAND(),RAND()-1)</f>
        <v>0.70265581909579555</v>
      </c>
      <c r="B591" s="2" t="e">
        <f t="shared" ca="1" si="17"/>
        <v>#N/A</v>
      </c>
      <c r="C591" s="1">
        <v>591</v>
      </c>
      <c r="D591" s="1" t="s">
        <v>1196</v>
      </c>
      <c r="E591" s="1" t="s">
        <v>1197</v>
      </c>
    </row>
    <row r="592" spans="1:5" ht="25">
      <c r="A592" s="2">
        <f ca="1">IF(COUNTIF($AA$1:$BXX$24,592) = 0,RAND(),RAND()-1)</f>
        <v>0.64431172609773191</v>
      </c>
      <c r="B592" s="2" t="e">
        <f t="shared" ca="1" si="17"/>
        <v>#N/A</v>
      </c>
      <c r="C592" s="1">
        <v>592</v>
      </c>
      <c r="D592" s="1" t="s">
        <v>1198</v>
      </c>
      <c r="E592" s="1" t="s">
        <v>1199</v>
      </c>
    </row>
    <row r="593" spans="1:5" ht="25">
      <c r="A593" s="2">
        <f ca="1">IF(COUNTIF($AA$1:$BXX$24,593) = 0,RAND(),RAND()-1)</f>
        <v>0.10127396059463167</v>
      </c>
      <c r="B593" s="2" t="e">
        <f t="shared" ca="1" si="17"/>
        <v>#N/A</v>
      </c>
      <c r="C593" s="1">
        <v>593</v>
      </c>
      <c r="D593" s="1" t="s">
        <v>1200</v>
      </c>
      <c r="E593" s="1" t="s">
        <v>1201</v>
      </c>
    </row>
    <row r="594" spans="1:5" ht="25">
      <c r="A594" s="2">
        <f ca="1">IF(COUNTIF($AA$1:$BXX$24,594) = 0,RAND(),RAND()-1)</f>
        <v>0.44241163054474553</v>
      </c>
      <c r="B594" s="2" t="e">
        <f t="shared" ca="1" si="17"/>
        <v>#N/A</v>
      </c>
      <c r="C594" s="1">
        <v>594</v>
      </c>
      <c r="D594" s="1" t="s">
        <v>1202</v>
      </c>
      <c r="E594" s="1" t="s">
        <v>1203</v>
      </c>
    </row>
    <row r="595" spans="1:5" ht="25">
      <c r="A595" s="2">
        <f ca="1">IF(COUNTIF($AA$1:$BXX$24,595) = 0,RAND(),RAND()-1)</f>
        <v>0.99707066796823718</v>
      </c>
      <c r="B595" s="2" t="e">
        <f t="shared" ca="1" si="17"/>
        <v>#N/A</v>
      </c>
      <c r="C595" s="1">
        <v>595</v>
      </c>
      <c r="D595" s="1" t="s">
        <v>1204</v>
      </c>
      <c r="E595" s="1" t="s">
        <v>1205</v>
      </c>
    </row>
    <row r="596" spans="1:5" ht="25">
      <c r="A596" s="2">
        <f ca="1">IF(COUNTIF($AA$1:$BXX$24,596) = 0,RAND(),RAND()-1)</f>
        <v>5.996094964962595E-2</v>
      </c>
      <c r="B596" s="2" t="e">
        <f t="shared" ca="1" si="17"/>
        <v>#N/A</v>
      </c>
      <c r="C596" s="1">
        <v>596</v>
      </c>
      <c r="D596" s="1" t="s">
        <v>1206</v>
      </c>
      <c r="E596" s="1" t="s">
        <v>1207</v>
      </c>
    </row>
    <row r="597" spans="1:5" ht="25">
      <c r="A597" s="2">
        <f ca="1">IF(COUNTIF($AA$1:$BXX$24,597) = 0,RAND(),RAND()-1)</f>
        <v>0.99159550398225893</v>
      </c>
      <c r="B597" s="2" t="e">
        <f t="shared" ca="1" si="17"/>
        <v>#N/A</v>
      </c>
      <c r="C597" s="1">
        <v>597</v>
      </c>
      <c r="D597" s="1" t="s">
        <v>1208</v>
      </c>
      <c r="E597" s="1" t="s">
        <v>1209</v>
      </c>
    </row>
    <row r="598" spans="1:5" ht="25">
      <c r="A598" s="2">
        <f ca="1">IF(COUNTIF($AA$1:$BXX$24,598) = 0,RAND(),RAND()-1)</f>
        <v>0.28249367584589957</v>
      </c>
      <c r="B598" s="2" t="e">
        <f t="shared" ca="1" si="17"/>
        <v>#N/A</v>
      </c>
      <c r="C598" s="1">
        <v>598</v>
      </c>
      <c r="D598" s="1" t="s">
        <v>1210</v>
      </c>
      <c r="E598" s="1" t="s">
        <v>1211</v>
      </c>
    </row>
    <row r="599" spans="1:5" ht="25">
      <c r="A599" s="2">
        <f ca="1">IF(COUNTIF($AA$1:$BXX$24,599) = 0,RAND(),RAND()-1)</f>
        <v>4.6670965366362061E-2</v>
      </c>
      <c r="B599" s="2" t="e">
        <f t="shared" ca="1" si="17"/>
        <v>#N/A</v>
      </c>
      <c r="C599" s="1">
        <v>599</v>
      </c>
      <c r="D599" s="1" t="s">
        <v>1212</v>
      </c>
      <c r="E599" s="1" t="s">
        <v>1213</v>
      </c>
    </row>
    <row r="600" spans="1:5" ht="25">
      <c r="A600" s="2">
        <f ca="1">IF(COUNTIF($AA$1:$BXX$24,600) = 0,RAND(),RAND()-1)</f>
        <v>0.21860695193088886</v>
      </c>
      <c r="B600" s="2" t="e">
        <f t="shared" ca="1" si="17"/>
        <v>#N/A</v>
      </c>
      <c r="C600" s="1">
        <v>600</v>
      </c>
      <c r="D600" s="1" t="s">
        <v>1214</v>
      </c>
      <c r="E600" s="1" t="s">
        <v>1215</v>
      </c>
    </row>
    <row r="601" spans="1:5" ht="25">
      <c r="A601" s="2">
        <f ca="1">IF(COUNTIF($AA$1:$BXX$24,601) = 0,RAND(),RAND()-1)</f>
        <v>0.63856466276245327</v>
      </c>
      <c r="B601" s="2" t="e">
        <f t="shared" ca="1" si="17"/>
        <v>#N/A</v>
      </c>
      <c r="C601" s="1">
        <v>601</v>
      </c>
      <c r="D601" s="1" t="s">
        <v>1216</v>
      </c>
      <c r="E601" s="1" t="s">
        <v>1217</v>
      </c>
    </row>
    <row r="602" spans="1:5" ht="25">
      <c r="A602" s="2">
        <f ca="1">IF(COUNTIF($AA$1:$BXX$24,602) = 0,RAND(),RAND()-1)</f>
        <v>0.45033114085436254</v>
      </c>
      <c r="B602" s="2" t="e">
        <f t="shared" ca="1" si="17"/>
        <v>#N/A</v>
      </c>
      <c r="C602" s="1">
        <v>602</v>
      </c>
      <c r="D602" s="1" t="s">
        <v>1218</v>
      </c>
      <c r="E602" s="1" t="s">
        <v>1219</v>
      </c>
    </row>
    <row r="603" spans="1:5" ht="25">
      <c r="A603" s="2">
        <f ca="1">IF(COUNTIF($AA$1:$BXX$24,603) = 0,RAND(),RAND()-1)</f>
        <v>0.67679297107748859</v>
      </c>
      <c r="B603" s="2" t="e">
        <f t="shared" ca="1" si="17"/>
        <v>#N/A</v>
      </c>
      <c r="C603" s="1">
        <v>603</v>
      </c>
      <c r="D603" s="1" t="s">
        <v>1220</v>
      </c>
      <c r="E603" s="1" t="s">
        <v>1221</v>
      </c>
    </row>
    <row r="604" spans="1:5" ht="25">
      <c r="A604" s="2">
        <f ca="1">IF(COUNTIF($AA$1:$BXX$24,604) = 0,RAND(),RAND()-1)</f>
        <v>0.65450265304822197</v>
      </c>
      <c r="B604" s="2" t="e">
        <f t="shared" ca="1" si="17"/>
        <v>#N/A</v>
      </c>
      <c r="C604" s="1">
        <v>604</v>
      </c>
      <c r="D604" s="1" t="s">
        <v>1222</v>
      </c>
      <c r="E604" s="1" t="s">
        <v>1223</v>
      </c>
    </row>
    <row r="605" spans="1:5" ht="25">
      <c r="A605" s="2">
        <f ca="1">IF(COUNTIF($AA$1:$BXX$24,605) = 0,RAND(),RAND()-1)</f>
        <v>0.39729273835292234</v>
      </c>
      <c r="B605" s="2" t="e">
        <f t="shared" ca="1" si="17"/>
        <v>#N/A</v>
      </c>
      <c r="C605" s="1">
        <v>605</v>
      </c>
      <c r="D605" s="1" t="s">
        <v>1224</v>
      </c>
      <c r="E605" s="1" t="s">
        <v>1225</v>
      </c>
    </row>
    <row r="606" spans="1:5" ht="25">
      <c r="A606" s="2">
        <f ca="1">IF(COUNTIF($AA$1:$BXX$24,606) = 0,RAND(),RAND()-1)</f>
        <v>0.24556213661527526</v>
      </c>
      <c r="B606" s="2" t="e">
        <f t="shared" ca="1" si="17"/>
        <v>#N/A</v>
      </c>
      <c r="C606" s="1">
        <v>606</v>
      </c>
      <c r="D606" s="1" t="s">
        <v>1226</v>
      </c>
      <c r="E606" s="1" t="s">
        <v>1227</v>
      </c>
    </row>
    <row r="607" spans="1:5" ht="25">
      <c r="A607" s="2">
        <f ca="1">IF(COUNTIF($AA$1:$BXX$24,607) = 0,RAND(),RAND()-1)</f>
        <v>0.16101159024127754</v>
      </c>
      <c r="B607" s="2" t="e">
        <f t="shared" ca="1" si="17"/>
        <v>#N/A</v>
      </c>
      <c r="C607" s="1">
        <v>607</v>
      </c>
      <c r="D607" s="1" t="s">
        <v>1228</v>
      </c>
      <c r="E607" s="1" t="s">
        <v>1229</v>
      </c>
    </row>
    <row r="608" spans="1:5" ht="25">
      <c r="A608" s="2">
        <f ca="1">IF(COUNTIF($AA$1:$BXX$24,608) = 0,RAND(),RAND()-1)</f>
        <v>0.16718176423003639</v>
      </c>
      <c r="B608" s="2" t="e">
        <f t="shared" ca="1" si="17"/>
        <v>#N/A</v>
      </c>
      <c r="C608" s="1">
        <v>608</v>
      </c>
      <c r="D608" s="1" t="s">
        <v>1230</v>
      </c>
      <c r="E608" s="1" t="s">
        <v>1231</v>
      </c>
    </row>
    <row r="609" spans="1:5" ht="25">
      <c r="A609" s="2">
        <f ca="1">IF(COUNTIF($AA$1:$BXX$24,609) = 0,RAND(),RAND()-1)</f>
        <v>0.81710195876484437</v>
      </c>
      <c r="B609" s="2" t="e">
        <f t="shared" ca="1" si="17"/>
        <v>#N/A</v>
      </c>
      <c r="C609" s="1">
        <v>609</v>
      </c>
      <c r="D609" s="1" t="s">
        <v>1232</v>
      </c>
      <c r="E609" s="1" t="s">
        <v>1233</v>
      </c>
    </row>
    <row r="610" spans="1:5" ht="25">
      <c r="A610" s="2">
        <f ca="1">IF(COUNTIF($AA$1:$BXX$24,610) = 0,RAND(),RAND()-1)</f>
        <v>0.30056883585658278</v>
      </c>
      <c r="B610" s="2" t="e">
        <f t="shared" ca="1" si="17"/>
        <v>#N/A</v>
      </c>
      <c r="C610" s="1">
        <v>610</v>
      </c>
      <c r="D610" s="1" t="s">
        <v>1234</v>
      </c>
      <c r="E610" s="1" t="s">
        <v>1235</v>
      </c>
    </row>
    <row r="611" spans="1:5" ht="25">
      <c r="A611" s="2">
        <f ca="1">IF(COUNTIF($AA$1:$BXX$24,611) = 0,RAND(),RAND()-1)</f>
        <v>0.47287949441043542</v>
      </c>
      <c r="B611" s="2" t="e">
        <f t="shared" ca="1" si="17"/>
        <v>#N/A</v>
      </c>
      <c r="C611" s="1">
        <v>611</v>
      </c>
      <c r="D611" s="1" t="s">
        <v>1236</v>
      </c>
      <c r="E611" s="1" t="s">
        <v>1237</v>
      </c>
    </row>
    <row r="612" spans="1:5" ht="25">
      <c r="A612" s="2">
        <f ca="1">IF(COUNTIF($AA$1:$BXX$24,612) = 0,RAND(),RAND()-1)</f>
        <v>0.882192271938946</v>
      </c>
      <c r="B612" s="2" t="e">
        <f t="shared" ca="1" si="17"/>
        <v>#N/A</v>
      </c>
      <c r="C612" s="1">
        <v>612</v>
      </c>
      <c r="D612" s="1" t="s">
        <v>1238</v>
      </c>
      <c r="E612" s="1" t="s">
        <v>1239</v>
      </c>
    </row>
    <row r="613" spans="1:5" ht="25">
      <c r="A613" s="2">
        <f ca="1">IF(COUNTIF($AA$1:$BXX$24,613) = 0,RAND(),RAND()-1)</f>
        <v>0.37701199487568793</v>
      </c>
      <c r="B613" s="2" t="e">
        <f t="shared" ca="1" si="17"/>
        <v>#N/A</v>
      </c>
      <c r="C613" s="1">
        <v>613</v>
      </c>
      <c r="D613" s="1" t="s">
        <v>1240</v>
      </c>
      <c r="E613" s="1" t="s">
        <v>1241</v>
      </c>
    </row>
    <row r="614" spans="1:5" ht="25">
      <c r="A614" s="2">
        <f ca="1">IF(COUNTIF($AA$1:$BXX$24,614) = 0,RAND(),RAND()-1)</f>
        <v>0.31265491875207074</v>
      </c>
      <c r="B614" s="2" t="e">
        <f t="shared" ca="1" si="17"/>
        <v>#N/A</v>
      </c>
      <c r="C614" s="1">
        <v>614</v>
      </c>
      <c r="D614" s="1" t="s">
        <v>1242</v>
      </c>
      <c r="E614" s="1" t="s">
        <v>1243</v>
      </c>
    </row>
    <row r="615" spans="1:5" ht="25">
      <c r="A615" s="2">
        <f ca="1">IF(COUNTIF($AA$1:$BXX$24,615) = 0,RAND(),RAND()-1)</f>
        <v>0.89895829544012851</v>
      </c>
      <c r="B615" s="2" t="e">
        <f t="shared" ca="1" si="17"/>
        <v>#N/A</v>
      </c>
      <c r="C615" s="1">
        <v>615</v>
      </c>
      <c r="D615" s="1" t="s">
        <v>1244</v>
      </c>
      <c r="E615" s="1" t="s">
        <v>1245</v>
      </c>
    </row>
    <row r="616" spans="1:5" ht="25">
      <c r="A616" s="2">
        <f ca="1">IF(COUNTIF($AA$1:$BXX$24,616) = 0,RAND(),RAND()-1)</f>
        <v>0.33957780685454375</v>
      </c>
      <c r="B616" s="2" t="e">
        <f t="shared" ca="1" si="17"/>
        <v>#N/A</v>
      </c>
      <c r="C616" s="1">
        <v>616</v>
      </c>
      <c r="D616" s="1" t="s">
        <v>1246</v>
      </c>
      <c r="E616" s="1" t="s">
        <v>1247</v>
      </c>
    </row>
    <row r="617" spans="1:5" ht="25">
      <c r="A617" s="2">
        <f ca="1">IF(COUNTIF($AA$1:$BXX$24,617) = 0,RAND(),RAND()-1)</f>
        <v>6.3012671753109428E-2</v>
      </c>
      <c r="B617" s="2" t="e">
        <f t="shared" ca="1" si="17"/>
        <v>#N/A</v>
      </c>
      <c r="C617" s="1">
        <v>617</v>
      </c>
      <c r="D617" s="1" t="s">
        <v>1248</v>
      </c>
      <c r="E617" s="1" t="s">
        <v>1249</v>
      </c>
    </row>
    <row r="618" spans="1:5" ht="25">
      <c r="A618" s="2">
        <f ca="1">IF(COUNTIF($AA$1:$BXX$24,618) = 0,RAND(),RAND()-1)</f>
        <v>0.92570285817861386</v>
      </c>
      <c r="B618" s="2" t="e">
        <f t="shared" ca="1" si="17"/>
        <v>#N/A</v>
      </c>
      <c r="C618" s="1">
        <v>618</v>
      </c>
      <c r="D618" s="1" t="s">
        <v>1250</v>
      </c>
      <c r="E618" s="1" t="s">
        <v>1251</v>
      </c>
    </row>
    <row r="619" spans="1:5" ht="25">
      <c r="A619" s="2">
        <f ca="1">IF(COUNTIF($AA$1:$BXX$24,619) = 0,RAND(),RAND()-1)</f>
        <v>0.69780507406603132</v>
      </c>
      <c r="B619" s="2" t="e">
        <f t="shared" ca="1" si="17"/>
        <v>#N/A</v>
      </c>
      <c r="C619" s="1">
        <v>619</v>
      </c>
      <c r="D619" s="1" t="s">
        <v>1252</v>
      </c>
      <c r="E619" s="1" t="s">
        <v>1253</v>
      </c>
    </row>
    <row r="620" spans="1:5" ht="25">
      <c r="A620" s="2">
        <f ca="1">IF(COUNTIF($AA$1:$BXX$24,620) = 0,RAND(),RAND()-1)</f>
        <v>1.6333218739329247E-2</v>
      </c>
      <c r="B620" s="2" t="e">
        <f t="shared" ca="1" si="17"/>
        <v>#N/A</v>
      </c>
      <c r="C620" s="1">
        <v>620</v>
      </c>
      <c r="D620" s="1" t="s">
        <v>1254</v>
      </c>
      <c r="E620" s="1" t="s">
        <v>1255</v>
      </c>
    </row>
    <row r="621" spans="1:5" ht="25">
      <c r="A621" s="2">
        <f ca="1">IF(COUNTIF($AA$1:$BXX$24,621) = 0,RAND(),RAND()-1)</f>
        <v>3.3729008616474099E-2</v>
      </c>
      <c r="B621" s="2" t="e">
        <f t="shared" ca="1" si="17"/>
        <v>#N/A</v>
      </c>
      <c r="C621" s="1">
        <v>621</v>
      </c>
      <c r="D621" s="1" t="s">
        <v>1256</v>
      </c>
      <c r="E621" s="1" t="s">
        <v>1257</v>
      </c>
    </row>
    <row r="622" spans="1:5" ht="25">
      <c r="A622" s="2">
        <f ca="1">IF(COUNTIF($AA$1:$BXX$24,622) = 0,RAND(),RAND()-1)</f>
        <v>0.64405981803259471</v>
      </c>
      <c r="B622" s="2" t="e">
        <f t="shared" ca="1" si="17"/>
        <v>#N/A</v>
      </c>
      <c r="C622" s="1">
        <v>622</v>
      </c>
      <c r="D622" s="1" t="s">
        <v>1258</v>
      </c>
      <c r="E622" s="1" t="s">
        <v>1259</v>
      </c>
    </row>
    <row r="623" spans="1:5" ht="25">
      <c r="A623" s="2">
        <f ca="1">IF(COUNTIF($AA$1:$BXX$24,623) = 0,RAND(),RAND()-1)</f>
        <v>0.7983879948919369</v>
      </c>
      <c r="B623" s="2" t="e">
        <f t="shared" ca="1" si="17"/>
        <v>#N/A</v>
      </c>
      <c r="C623" s="1">
        <v>623</v>
      </c>
      <c r="D623" s="1" t="s">
        <v>1260</v>
      </c>
      <c r="E623" s="1" t="s">
        <v>272</v>
      </c>
    </row>
    <row r="624" spans="1:5" ht="25">
      <c r="A624" s="2">
        <f ca="1">IF(COUNTIF($AA$1:$BXX$24,624) = 0,RAND(),RAND()-1)</f>
        <v>0.99421960616604788</v>
      </c>
      <c r="B624" s="2" t="e">
        <f t="shared" ca="1" si="17"/>
        <v>#N/A</v>
      </c>
      <c r="C624" s="1">
        <v>624</v>
      </c>
      <c r="D624" s="1" t="s">
        <v>1261</v>
      </c>
      <c r="E624" s="1" t="s">
        <v>1262</v>
      </c>
    </row>
    <row r="625" spans="1:5" ht="25">
      <c r="A625" s="2">
        <f ca="1">IF(COUNTIF($AA$1:$BXX$24,625) = 0,RAND(),RAND()-1)</f>
        <v>2.4943572792816338E-2</v>
      </c>
      <c r="B625" s="2" t="e">
        <f t="shared" ca="1" si="17"/>
        <v>#N/A</v>
      </c>
      <c r="C625" s="1">
        <v>625</v>
      </c>
      <c r="D625" s="1" t="s">
        <v>1263</v>
      </c>
      <c r="E625" s="1" t="s">
        <v>1264</v>
      </c>
    </row>
    <row r="626" spans="1:5" ht="25">
      <c r="A626" s="2">
        <f ca="1">IF(COUNTIF($AA$1:$BXX$24,626) = 0,RAND(),RAND()-1)</f>
        <v>0.47752040969781662</v>
      </c>
      <c r="B626" s="2" t="e">
        <f t="shared" ca="1" si="17"/>
        <v>#N/A</v>
      </c>
      <c r="C626" s="1">
        <v>626</v>
      </c>
      <c r="D626" s="1" t="s">
        <v>1265</v>
      </c>
      <c r="E626" s="1" t="s">
        <v>1266</v>
      </c>
    </row>
    <row r="627" spans="1:5" ht="25">
      <c r="A627" s="2">
        <f ca="1">IF(COUNTIF($AA$1:$BXX$24,627) = 0,RAND(),RAND()-1)</f>
        <v>0.8746155185580472</v>
      </c>
      <c r="B627" s="2" t="e">
        <f t="shared" ca="1" si="17"/>
        <v>#N/A</v>
      </c>
      <c r="C627" s="1">
        <v>627</v>
      </c>
      <c r="D627" s="1" t="s">
        <v>1267</v>
      </c>
      <c r="E627" s="1" t="s">
        <v>1268</v>
      </c>
    </row>
    <row r="628" spans="1:5" ht="25">
      <c r="A628" s="2">
        <f ca="1">IF(COUNTIF($AA$1:$BXX$24,628) = 0,RAND(),RAND()-1)</f>
        <v>0.10943006525244614</v>
      </c>
      <c r="B628" s="2" t="e">
        <f t="shared" ca="1" si="17"/>
        <v>#N/A</v>
      </c>
      <c r="C628" s="1">
        <v>628</v>
      </c>
      <c r="D628" s="1" t="s">
        <v>1269</v>
      </c>
      <c r="E628" s="1" t="s">
        <v>1270</v>
      </c>
    </row>
    <row r="629" spans="1:5" ht="25">
      <c r="A629" s="2">
        <f ca="1">IF(COUNTIF($AA$1:$BXX$24,629) = 0,RAND(),RAND()-1)</f>
        <v>0.33144505802306412</v>
      </c>
      <c r="B629" s="2" t="e">
        <f t="shared" ca="1" si="17"/>
        <v>#N/A</v>
      </c>
      <c r="C629" s="1">
        <v>629</v>
      </c>
      <c r="D629" s="1" t="s">
        <v>1271</v>
      </c>
      <c r="E629" s="1" t="s">
        <v>1272</v>
      </c>
    </row>
    <row r="630" spans="1:5" ht="25">
      <c r="A630" s="2">
        <f ca="1">IF(COUNTIF($AA$1:$BXX$24,630) = 0,RAND(),RAND()-1)</f>
        <v>0.17249319241658245</v>
      </c>
      <c r="B630" s="2" t="e">
        <f t="shared" ca="1" si="17"/>
        <v>#N/A</v>
      </c>
      <c r="C630" s="1">
        <v>630</v>
      </c>
      <c r="D630" s="1" t="s">
        <v>1273</v>
      </c>
      <c r="E630" s="1" t="s">
        <v>1274</v>
      </c>
    </row>
    <row r="631" spans="1:5" ht="25">
      <c r="A631" s="2">
        <f ca="1">IF(COUNTIF($AA$1:$BXX$24,631) = 0,RAND(),RAND()-1)</f>
        <v>0.56030647720688975</v>
      </c>
      <c r="B631" s="2" t="e">
        <f t="shared" ca="1" si="17"/>
        <v>#N/A</v>
      </c>
      <c r="C631" s="1">
        <v>631</v>
      </c>
      <c r="D631" s="1" t="s">
        <v>1275</v>
      </c>
      <c r="E631" s="1" t="s">
        <v>1276</v>
      </c>
    </row>
    <row r="632" spans="1:5" ht="25">
      <c r="A632" s="2">
        <f ca="1">IF(COUNTIF($AA$1:$BXX$24,632) = 0,RAND(),RAND()-1)</f>
        <v>0.6121358940749142</v>
      </c>
      <c r="B632" s="2" t="e">
        <f t="shared" ca="1" si="17"/>
        <v>#N/A</v>
      </c>
      <c r="C632" s="1">
        <v>632</v>
      </c>
      <c r="D632" s="1" t="s">
        <v>1277</v>
      </c>
      <c r="E632" s="1" t="s">
        <v>1278</v>
      </c>
    </row>
    <row r="633" spans="1:5" ht="25">
      <c r="A633" s="2">
        <f ca="1">IF(COUNTIF($AA$1:$BXX$24,633) = 0,RAND(),RAND()-1)</f>
        <v>0.10906721855350876</v>
      </c>
      <c r="B633" s="2" t="e">
        <f t="shared" ca="1" si="17"/>
        <v>#N/A</v>
      </c>
      <c r="C633" s="1">
        <v>633</v>
      </c>
      <c r="D633" s="1" t="s">
        <v>1279</v>
      </c>
      <c r="E633" s="1" t="s">
        <v>1280</v>
      </c>
    </row>
    <row r="634" spans="1:5" ht="25">
      <c r="A634" s="2">
        <f ca="1">IF(COUNTIF($AA$1:$BXX$24,634) = 0,RAND(),RAND()-1)</f>
        <v>0.58745119285953917</v>
      </c>
      <c r="B634" s="2" t="e">
        <f t="shared" ca="1" si="17"/>
        <v>#N/A</v>
      </c>
      <c r="C634" s="1">
        <v>634</v>
      </c>
      <c r="D634" s="1" t="s">
        <v>1281</v>
      </c>
      <c r="E634" s="1" t="s">
        <v>1282</v>
      </c>
    </row>
    <row r="635" spans="1:5" ht="25">
      <c r="A635" s="2">
        <f ca="1">IF(COUNTIF($AA$1:$BXX$24,635) = 0,RAND(),RAND()-1)</f>
        <v>0.40700844560556526</v>
      </c>
      <c r="B635" s="2" t="e">
        <f t="shared" ca="1" si="17"/>
        <v>#N/A</v>
      </c>
      <c r="C635" s="1">
        <v>635</v>
      </c>
      <c r="D635" s="1" t="s">
        <v>1283</v>
      </c>
      <c r="E635" s="1" t="s">
        <v>1284</v>
      </c>
    </row>
    <row r="636" spans="1:5" ht="25">
      <c r="A636" s="2">
        <f ca="1">IF(COUNTIF($AA$1:$BXX$24,636) = 0,RAND(),RAND()-1)</f>
        <v>0.61854254097953576</v>
      </c>
      <c r="B636" s="2" t="e">
        <f t="shared" ca="1" si="17"/>
        <v>#N/A</v>
      </c>
      <c r="C636" s="1">
        <v>636</v>
      </c>
      <c r="D636" s="1" t="s">
        <v>1285</v>
      </c>
      <c r="E636" s="1" t="s">
        <v>1286</v>
      </c>
    </row>
    <row r="637" spans="1:5" ht="25">
      <c r="A637" s="2">
        <f ca="1">IF(COUNTIF($AA$1:$BXX$24,637) = 0,RAND(),RAND()-1)</f>
        <v>0.79041618355360888</v>
      </c>
      <c r="B637" s="2" t="e">
        <f t="shared" ca="1" si="17"/>
        <v>#N/A</v>
      </c>
      <c r="C637" s="1">
        <v>637</v>
      </c>
      <c r="D637" s="1" t="s">
        <v>1287</v>
      </c>
      <c r="E637" s="1" t="s">
        <v>1288</v>
      </c>
    </row>
    <row r="638" spans="1:5" ht="25">
      <c r="A638" s="2">
        <f ca="1">IF(COUNTIF($AA$1:$BXX$24,638) = 0,RAND(),RAND()-1)</f>
        <v>1.4330636647025274E-3</v>
      </c>
      <c r="B638" s="2" t="e">
        <f t="shared" ca="1" si="17"/>
        <v>#N/A</v>
      </c>
      <c r="C638" s="1">
        <v>638</v>
      </c>
      <c r="D638" s="1" t="s">
        <v>1289</v>
      </c>
      <c r="E638" s="1" t="s">
        <v>1290</v>
      </c>
    </row>
    <row r="639" spans="1:5" ht="25">
      <c r="A639" s="2">
        <f ca="1">IF(COUNTIF($AA$1:$BXX$24,639) = 0,RAND(),RAND()-1)</f>
        <v>0.65767236825587205</v>
      </c>
      <c r="B639" s="2" t="e">
        <f t="shared" ca="1" si="17"/>
        <v>#N/A</v>
      </c>
      <c r="C639" s="1">
        <v>639</v>
      </c>
      <c r="D639" s="1" t="s">
        <v>1291</v>
      </c>
      <c r="E639" s="1" t="s">
        <v>1292</v>
      </c>
    </row>
    <row r="640" spans="1:5" ht="25">
      <c r="A640" s="2">
        <f ca="1">IF(COUNTIF($AA$1:$BXX$24,640) = 0,RAND(),RAND()-1)</f>
        <v>0.64857492126189031</v>
      </c>
      <c r="B640" s="2" t="e">
        <f t="shared" ca="1" si="17"/>
        <v>#N/A</v>
      </c>
      <c r="C640" s="1">
        <v>640</v>
      </c>
      <c r="D640" s="1" t="s">
        <v>1293</v>
      </c>
      <c r="E640" s="1" t="s">
        <v>1294</v>
      </c>
    </row>
    <row r="641" spans="1:5" ht="25">
      <c r="A641" s="2">
        <f ca="1">IF(COUNTIF($AA$1:$BXX$24,641) = 0,RAND(),RAND()-1)</f>
        <v>0.24587511285548946</v>
      </c>
      <c r="B641" s="2" t="e">
        <f t="shared" ref="B641:B704" ca="1" si="18">RANK(A641,OFFSET($A$1,$G$1-1,0,$G$2-$G$1+1))</f>
        <v>#N/A</v>
      </c>
      <c r="C641" s="1">
        <v>641</v>
      </c>
      <c r="D641" s="1" t="s">
        <v>1295</v>
      </c>
      <c r="E641" s="1" t="s">
        <v>1296</v>
      </c>
    </row>
    <row r="642" spans="1:5" ht="25">
      <c r="A642" s="2">
        <f ca="1">IF(COUNTIF($AA$1:$BXX$24,642) = 0,RAND(),RAND()-1)</f>
        <v>0.59716899812344437</v>
      </c>
      <c r="B642" s="2" t="e">
        <f t="shared" ca="1" si="18"/>
        <v>#N/A</v>
      </c>
      <c r="C642" s="1">
        <v>642</v>
      </c>
      <c r="D642" s="1" t="s">
        <v>1297</v>
      </c>
      <c r="E642" s="1" t="s">
        <v>1298</v>
      </c>
    </row>
    <row r="643" spans="1:5" ht="25">
      <c r="A643" s="2">
        <f ca="1">IF(COUNTIF($AA$1:$BXX$24,643) = 0,RAND(),RAND()-1)</f>
        <v>0.78696640630253512</v>
      </c>
      <c r="B643" s="2" t="e">
        <f t="shared" ca="1" si="18"/>
        <v>#N/A</v>
      </c>
      <c r="C643" s="1">
        <v>643</v>
      </c>
      <c r="D643" s="1" t="s">
        <v>1299</v>
      </c>
      <c r="E643" s="1" t="s">
        <v>1300</v>
      </c>
    </row>
    <row r="644" spans="1:5" ht="25">
      <c r="A644" s="2">
        <f ca="1">IF(COUNTIF($AA$1:$BXX$24,644) = 0,RAND(),RAND()-1)</f>
        <v>0.75688143605821101</v>
      </c>
      <c r="B644" s="2" t="e">
        <f t="shared" ca="1" si="18"/>
        <v>#N/A</v>
      </c>
      <c r="C644" s="1">
        <v>644</v>
      </c>
      <c r="D644" s="1" t="s">
        <v>1301</v>
      </c>
      <c r="E644" s="1" t="s">
        <v>1302</v>
      </c>
    </row>
    <row r="645" spans="1:5" ht="25">
      <c r="A645" s="2">
        <f ca="1">IF(COUNTIF($AA$1:$BXX$24,645) = 0,RAND(),RAND()-1)</f>
        <v>0.37239261862214967</v>
      </c>
      <c r="B645" s="2" t="e">
        <f t="shared" ca="1" si="18"/>
        <v>#N/A</v>
      </c>
      <c r="C645" s="1">
        <v>645</v>
      </c>
      <c r="D645" s="1" t="s">
        <v>1303</v>
      </c>
      <c r="E645" s="1" t="s">
        <v>1304</v>
      </c>
    </row>
    <row r="646" spans="1:5" ht="25">
      <c r="A646" s="2">
        <f ca="1">IF(COUNTIF($AA$1:$BXX$24,646) = 0,RAND(),RAND()-1)</f>
        <v>0.38057611892588827</v>
      </c>
      <c r="B646" s="2" t="e">
        <f t="shared" ca="1" si="18"/>
        <v>#N/A</v>
      </c>
      <c r="C646" s="1">
        <v>646</v>
      </c>
      <c r="D646" s="1" t="s">
        <v>1305</v>
      </c>
      <c r="E646" s="1" t="s">
        <v>1306</v>
      </c>
    </row>
    <row r="647" spans="1:5" ht="25">
      <c r="A647" s="2">
        <f ca="1">IF(COUNTIF($AA$1:$BXX$24,647) = 0,RAND(),RAND()-1)</f>
        <v>0.20472527694219356</v>
      </c>
      <c r="B647" s="2" t="e">
        <f t="shared" ca="1" si="18"/>
        <v>#N/A</v>
      </c>
      <c r="C647" s="1">
        <v>647</v>
      </c>
      <c r="D647" s="1" t="s">
        <v>1307</v>
      </c>
      <c r="E647" s="1" t="s">
        <v>1308</v>
      </c>
    </row>
    <row r="648" spans="1:5" ht="25">
      <c r="A648" s="2">
        <f ca="1">IF(COUNTIF($AA$1:$BXX$24,648) = 0,RAND(),RAND()-1)</f>
        <v>0.60418859659376367</v>
      </c>
      <c r="B648" s="2" t="e">
        <f t="shared" ca="1" si="18"/>
        <v>#N/A</v>
      </c>
      <c r="C648" s="1">
        <v>648</v>
      </c>
      <c r="D648" s="1" t="s">
        <v>1309</v>
      </c>
      <c r="E648" s="1" t="s">
        <v>1310</v>
      </c>
    </row>
    <row r="649" spans="1:5" ht="25">
      <c r="A649" s="2">
        <f ca="1">IF(COUNTIF($AA$1:$BXX$24,649) = 0,RAND(),RAND()-1)</f>
        <v>0.75010073423880197</v>
      </c>
      <c r="B649" s="2" t="e">
        <f t="shared" ca="1" si="18"/>
        <v>#N/A</v>
      </c>
      <c r="C649" s="1">
        <v>649</v>
      </c>
      <c r="D649" s="1" t="s">
        <v>1311</v>
      </c>
      <c r="E649" s="1" t="s">
        <v>1312</v>
      </c>
    </row>
    <row r="650" spans="1:5" ht="25">
      <c r="A650" s="2">
        <f ca="1">IF(COUNTIF($AA$1:$BXX$24,650) = 0,RAND(),RAND()-1)</f>
        <v>0.30976098679083774</v>
      </c>
      <c r="B650" s="2" t="e">
        <f t="shared" ca="1" si="18"/>
        <v>#N/A</v>
      </c>
      <c r="C650" s="1">
        <v>650</v>
      </c>
      <c r="D650" s="1" t="s">
        <v>1313</v>
      </c>
      <c r="E650" s="1" t="s">
        <v>774</v>
      </c>
    </row>
    <row r="651" spans="1:5" ht="25">
      <c r="A651" s="2">
        <f ca="1">IF(COUNTIF($AA$1:$BXX$24,651) = 0,RAND(),RAND()-1)</f>
        <v>0.33115821701048331</v>
      </c>
      <c r="B651" s="2" t="e">
        <f t="shared" ca="1" si="18"/>
        <v>#N/A</v>
      </c>
      <c r="C651" s="1">
        <v>651</v>
      </c>
      <c r="D651" s="1" t="s">
        <v>1314</v>
      </c>
      <c r="E651" s="1" t="s">
        <v>1315</v>
      </c>
    </row>
    <row r="652" spans="1:5" ht="25">
      <c r="A652" s="2">
        <f ca="1">IF(COUNTIF($AA$1:$BXX$24,652) = 0,RAND(),RAND()-1)</f>
        <v>0.82922905764506305</v>
      </c>
      <c r="B652" s="2" t="e">
        <f t="shared" ca="1" si="18"/>
        <v>#N/A</v>
      </c>
      <c r="C652" s="1">
        <v>652</v>
      </c>
      <c r="D652" s="1" t="s">
        <v>1316</v>
      </c>
      <c r="E652" s="1" t="s">
        <v>1317</v>
      </c>
    </row>
    <row r="653" spans="1:5" ht="25">
      <c r="A653" s="2">
        <f ca="1">IF(COUNTIF($AA$1:$BXX$24,653) = 0,RAND(),RAND()-1)</f>
        <v>2.9550694525794396E-2</v>
      </c>
      <c r="B653" s="2" t="e">
        <f t="shared" ca="1" si="18"/>
        <v>#N/A</v>
      </c>
      <c r="C653" s="1">
        <v>653</v>
      </c>
      <c r="D653" s="1" t="s">
        <v>1318</v>
      </c>
      <c r="E653" s="1" t="s">
        <v>311</v>
      </c>
    </row>
    <row r="654" spans="1:5" ht="25">
      <c r="A654" s="2">
        <f ca="1">IF(COUNTIF($AA$1:$BXX$24,654) = 0,RAND(),RAND()-1)</f>
        <v>0.25735733692436524</v>
      </c>
      <c r="B654" s="2" t="e">
        <f t="shared" ca="1" si="18"/>
        <v>#N/A</v>
      </c>
      <c r="C654" s="1">
        <v>654</v>
      </c>
      <c r="D654" s="1" t="s">
        <v>1319</v>
      </c>
      <c r="E654" s="1" t="s">
        <v>1320</v>
      </c>
    </row>
    <row r="655" spans="1:5" ht="25">
      <c r="A655" s="2">
        <f ca="1">IF(COUNTIF($AA$1:$BXX$24,655) = 0,RAND(),RAND()-1)</f>
        <v>0.25459411628096218</v>
      </c>
      <c r="B655" s="2" t="e">
        <f t="shared" ca="1" si="18"/>
        <v>#N/A</v>
      </c>
      <c r="C655" s="1">
        <v>655</v>
      </c>
      <c r="D655" s="1" t="s">
        <v>1321</v>
      </c>
      <c r="E655" s="1" t="s">
        <v>1322</v>
      </c>
    </row>
    <row r="656" spans="1:5" ht="25">
      <c r="A656" s="2">
        <f ca="1">IF(COUNTIF($AA$1:$BXX$24,656) = 0,RAND(),RAND()-1)</f>
        <v>0.94735631884966798</v>
      </c>
      <c r="B656" s="2" t="e">
        <f t="shared" ca="1" si="18"/>
        <v>#N/A</v>
      </c>
      <c r="C656" s="1">
        <v>656</v>
      </c>
      <c r="D656" s="1" t="s">
        <v>1323</v>
      </c>
      <c r="E656" s="1" t="s">
        <v>1324</v>
      </c>
    </row>
    <row r="657" spans="1:5" ht="25">
      <c r="A657" s="2">
        <f ca="1">IF(COUNTIF($AA$1:$BXX$24,657) = 0,RAND(),RAND()-1)</f>
        <v>9.2474259560484828E-2</v>
      </c>
      <c r="B657" s="2" t="e">
        <f t="shared" ca="1" si="18"/>
        <v>#N/A</v>
      </c>
      <c r="C657" s="1">
        <v>657</v>
      </c>
      <c r="D657" s="1" t="s">
        <v>1325</v>
      </c>
      <c r="E657" s="1" t="s">
        <v>1326</v>
      </c>
    </row>
    <row r="658" spans="1:5" ht="25">
      <c r="A658" s="2">
        <f ca="1">IF(COUNTIF($AA$1:$BXX$24,658) = 0,RAND(),RAND()-1)</f>
        <v>0.57745701699205476</v>
      </c>
      <c r="B658" s="2" t="e">
        <f t="shared" ca="1" si="18"/>
        <v>#N/A</v>
      </c>
      <c r="C658" s="1">
        <v>658</v>
      </c>
      <c r="D658" s="1" t="s">
        <v>1327</v>
      </c>
      <c r="E658" s="1" t="s">
        <v>1328</v>
      </c>
    </row>
    <row r="659" spans="1:5" ht="25">
      <c r="A659" s="2">
        <f ca="1">IF(COUNTIF($AA$1:$BXX$24,659) = 0,RAND(),RAND()-1)</f>
        <v>0.36737965805625739</v>
      </c>
      <c r="B659" s="2" t="e">
        <f t="shared" ca="1" si="18"/>
        <v>#N/A</v>
      </c>
      <c r="C659" s="1">
        <v>659</v>
      </c>
      <c r="D659" s="1" t="s">
        <v>1329</v>
      </c>
      <c r="E659" s="1" t="s">
        <v>1330</v>
      </c>
    </row>
    <row r="660" spans="1:5" ht="25">
      <c r="A660" s="2">
        <f ca="1">IF(COUNTIF($AA$1:$BXX$24,660) = 0,RAND(),RAND()-1)</f>
        <v>0.57641094138222826</v>
      </c>
      <c r="B660" s="2" t="e">
        <f t="shared" ca="1" si="18"/>
        <v>#N/A</v>
      </c>
      <c r="C660" s="1">
        <v>660</v>
      </c>
      <c r="D660" s="1" t="s">
        <v>1331</v>
      </c>
      <c r="E660" s="1" t="s">
        <v>1332</v>
      </c>
    </row>
    <row r="661" spans="1:5" ht="25">
      <c r="A661" s="2">
        <f ca="1">IF(COUNTIF($AA$1:$BXX$24,661) = 0,RAND(),RAND()-1)</f>
        <v>0.23557067992561131</v>
      </c>
      <c r="B661" s="2" t="e">
        <f t="shared" ca="1" si="18"/>
        <v>#N/A</v>
      </c>
      <c r="C661" s="1">
        <v>661</v>
      </c>
      <c r="D661" s="1" t="s">
        <v>1333</v>
      </c>
      <c r="E661" s="1" t="s">
        <v>1334</v>
      </c>
    </row>
    <row r="662" spans="1:5" ht="25">
      <c r="A662" s="2">
        <f ca="1">IF(COUNTIF($AA$1:$BXX$24,662) = 0,RAND(),RAND()-1)</f>
        <v>0.95303131584322098</v>
      </c>
      <c r="B662" s="2" t="e">
        <f t="shared" ca="1" si="18"/>
        <v>#N/A</v>
      </c>
      <c r="C662" s="1">
        <v>662</v>
      </c>
      <c r="D662" s="1" t="s">
        <v>1335</v>
      </c>
      <c r="E662" s="1" t="s">
        <v>1336</v>
      </c>
    </row>
    <row r="663" spans="1:5" ht="25">
      <c r="A663" s="2">
        <f ca="1">IF(COUNTIF($AA$1:$BXX$24,663) = 0,RAND(),RAND()-1)</f>
        <v>0.60372819513186349</v>
      </c>
      <c r="B663" s="2" t="e">
        <f t="shared" ca="1" si="18"/>
        <v>#N/A</v>
      </c>
      <c r="C663" s="1">
        <v>663</v>
      </c>
      <c r="D663" s="1" t="s">
        <v>1337</v>
      </c>
      <c r="E663" s="1" t="s">
        <v>313</v>
      </c>
    </row>
    <row r="664" spans="1:5" ht="25">
      <c r="A664" s="2">
        <f ca="1">IF(COUNTIF($AA$1:$BXX$24,664) = 0,RAND(),RAND()-1)</f>
        <v>0.51743885658930078</v>
      </c>
      <c r="B664" s="2" t="e">
        <f t="shared" ca="1" si="18"/>
        <v>#N/A</v>
      </c>
      <c r="C664" s="1">
        <v>664</v>
      </c>
      <c r="D664" s="1" t="s">
        <v>1338</v>
      </c>
      <c r="E664" s="1" t="s">
        <v>1339</v>
      </c>
    </row>
    <row r="665" spans="1:5" ht="25">
      <c r="A665" s="2">
        <f ca="1">IF(COUNTIF($AA$1:$BXX$24,665) = 0,RAND(),RAND()-1)</f>
        <v>3.327587301337176E-2</v>
      </c>
      <c r="B665" s="2" t="e">
        <f t="shared" ca="1" si="18"/>
        <v>#N/A</v>
      </c>
      <c r="C665" s="1">
        <v>665</v>
      </c>
      <c r="D665" s="1" t="s">
        <v>1340</v>
      </c>
      <c r="E665" s="1" t="s">
        <v>1341</v>
      </c>
    </row>
    <row r="666" spans="1:5" ht="25">
      <c r="A666" s="2">
        <f ca="1">IF(COUNTIF($AA$1:$BXX$24,666) = 0,RAND(),RAND()-1)</f>
        <v>0.58823275108721851</v>
      </c>
      <c r="B666" s="2" t="e">
        <f t="shared" ca="1" si="18"/>
        <v>#N/A</v>
      </c>
      <c r="C666" s="1">
        <v>666</v>
      </c>
      <c r="D666" s="1" t="s">
        <v>1342</v>
      </c>
      <c r="E666" s="1" t="s">
        <v>1343</v>
      </c>
    </row>
    <row r="667" spans="1:5" ht="25">
      <c r="A667" s="2">
        <f ca="1">IF(COUNTIF($AA$1:$BXX$24,667) = 0,RAND(),RAND()-1)</f>
        <v>0.99611343814971209</v>
      </c>
      <c r="B667" s="2" t="e">
        <f t="shared" ca="1" si="18"/>
        <v>#N/A</v>
      </c>
      <c r="C667" s="1">
        <v>667</v>
      </c>
      <c r="D667" s="1" t="s">
        <v>1344</v>
      </c>
      <c r="E667" s="1" t="s">
        <v>1345</v>
      </c>
    </row>
    <row r="668" spans="1:5" ht="25">
      <c r="A668" s="2">
        <f ca="1">IF(COUNTIF($AA$1:$BXX$24,668) = 0,RAND(),RAND()-1)</f>
        <v>0.95654641568251841</v>
      </c>
      <c r="B668" s="2" t="e">
        <f t="shared" ca="1" si="18"/>
        <v>#N/A</v>
      </c>
      <c r="C668" s="1">
        <v>668</v>
      </c>
      <c r="D668" s="1" t="s">
        <v>1346</v>
      </c>
      <c r="E668" s="1" t="s">
        <v>1347</v>
      </c>
    </row>
    <row r="669" spans="1:5" ht="25">
      <c r="A669" s="2">
        <f ca="1">IF(COUNTIF($AA$1:$BXX$24,669) = 0,RAND(),RAND()-1)</f>
        <v>3.4371739712585336E-2</v>
      </c>
      <c r="B669" s="2" t="e">
        <f t="shared" ca="1" si="18"/>
        <v>#N/A</v>
      </c>
      <c r="C669" s="1">
        <v>669</v>
      </c>
      <c r="D669" s="1" t="s">
        <v>1348</v>
      </c>
      <c r="E669" s="1" t="s">
        <v>1349</v>
      </c>
    </row>
    <row r="670" spans="1:5" ht="25">
      <c r="A670" s="2">
        <f ca="1">IF(COUNTIF($AA$1:$BXX$24,670) = 0,RAND(),RAND()-1)</f>
        <v>0.44799969602189271</v>
      </c>
      <c r="B670" s="2" t="e">
        <f t="shared" ca="1" si="18"/>
        <v>#N/A</v>
      </c>
      <c r="C670" s="1">
        <v>670</v>
      </c>
      <c r="D670" s="1" t="s">
        <v>1350</v>
      </c>
      <c r="E670" s="1" t="s">
        <v>1351</v>
      </c>
    </row>
    <row r="671" spans="1:5" ht="25">
      <c r="A671" s="2">
        <f ca="1">IF(COUNTIF($AA$1:$BXX$24,671) = 0,RAND(),RAND()-1)</f>
        <v>0.12423530820964879</v>
      </c>
      <c r="B671" s="2" t="e">
        <f t="shared" ca="1" si="18"/>
        <v>#N/A</v>
      </c>
      <c r="C671" s="1">
        <v>671</v>
      </c>
      <c r="D671" s="1" t="s">
        <v>1352</v>
      </c>
      <c r="E671" s="1" t="s">
        <v>1317</v>
      </c>
    </row>
    <row r="672" spans="1:5" ht="25">
      <c r="A672" s="2">
        <f ca="1">IF(COUNTIF($AA$1:$BXX$24,672) = 0,RAND(),RAND()-1)</f>
        <v>0.63394098045238767</v>
      </c>
      <c r="B672" s="2" t="e">
        <f t="shared" ca="1" si="18"/>
        <v>#N/A</v>
      </c>
      <c r="C672" s="1">
        <v>672</v>
      </c>
      <c r="D672" s="1" t="s">
        <v>1353</v>
      </c>
      <c r="E672" s="1" t="s">
        <v>1354</v>
      </c>
    </row>
    <row r="673" spans="1:5" ht="25">
      <c r="A673" s="2">
        <f ca="1">IF(COUNTIF($AA$1:$BXX$24,673) = 0,RAND(),RAND()-1)</f>
        <v>0.68240637449783048</v>
      </c>
      <c r="B673" s="2" t="e">
        <f t="shared" ca="1" si="18"/>
        <v>#N/A</v>
      </c>
      <c r="C673" s="1">
        <v>673</v>
      </c>
      <c r="D673" s="1" t="s">
        <v>1355</v>
      </c>
      <c r="E673" s="1" t="s">
        <v>1356</v>
      </c>
    </row>
    <row r="674" spans="1:5" ht="25">
      <c r="A674" s="2">
        <f ca="1">IF(COUNTIF($AA$1:$BXX$24,674) = 0,RAND(),RAND()-1)</f>
        <v>0.69581390704038726</v>
      </c>
      <c r="B674" s="2" t="e">
        <f t="shared" ca="1" si="18"/>
        <v>#N/A</v>
      </c>
      <c r="C674" s="1">
        <v>674</v>
      </c>
      <c r="D674" s="1" t="s">
        <v>1357</v>
      </c>
      <c r="E674" s="1" t="s">
        <v>1358</v>
      </c>
    </row>
    <row r="675" spans="1:5" ht="25">
      <c r="A675" s="2">
        <f ca="1">IF(COUNTIF($AA$1:$BXX$24,675) = 0,RAND(),RAND()-1)</f>
        <v>0.70772334240625445</v>
      </c>
      <c r="B675" s="2" t="e">
        <f t="shared" ca="1" si="18"/>
        <v>#N/A</v>
      </c>
      <c r="C675" s="1">
        <v>675</v>
      </c>
      <c r="D675" s="1" t="s">
        <v>1359</v>
      </c>
      <c r="E675" s="1" t="s">
        <v>1360</v>
      </c>
    </row>
    <row r="676" spans="1:5" ht="25">
      <c r="A676" s="2">
        <f ca="1">IF(COUNTIF($AA$1:$BXX$24,676) = 0,RAND(),RAND()-1)</f>
        <v>0.55193405639244331</v>
      </c>
      <c r="B676" s="2" t="e">
        <f t="shared" ca="1" si="18"/>
        <v>#N/A</v>
      </c>
      <c r="C676" s="1">
        <v>676</v>
      </c>
      <c r="D676" s="1" t="s">
        <v>1361</v>
      </c>
      <c r="E676" s="1" t="s">
        <v>1362</v>
      </c>
    </row>
    <row r="677" spans="1:5" ht="25">
      <c r="A677" s="2">
        <f ca="1">IF(COUNTIF($AA$1:$BXX$24,677) = 0,RAND(),RAND()-1)</f>
        <v>0.38179811626980154</v>
      </c>
      <c r="B677" s="2" t="e">
        <f t="shared" ca="1" si="18"/>
        <v>#N/A</v>
      </c>
      <c r="C677" s="1">
        <v>677</v>
      </c>
      <c r="D677" s="1" t="s">
        <v>1363</v>
      </c>
      <c r="E677" s="1" t="s">
        <v>1364</v>
      </c>
    </row>
    <row r="678" spans="1:5" ht="25">
      <c r="A678" s="2">
        <f ca="1">IF(COUNTIF($AA$1:$BXX$24,678) = 0,RAND(),RAND()-1)</f>
        <v>0.27701075945981335</v>
      </c>
      <c r="B678" s="2" t="e">
        <f t="shared" ca="1" si="18"/>
        <v>#N/A</v>
      </c>
      <c r="C678" s="1">
        <v>678</v>
      </c>
      <c r="D678" s="1" t="s">
        <v>1365</v>
      </c>
      <c r="E678" s="1" t="s">
        <v>1366</v>
      </c>
    </row>
    <row r="679" spans="1:5" ht="25">
      <c r="A679" s="2">
        <f ca="1">IF(COUNTIF($AA$1:$BXX$24,679) = 0,RAND(),RAND()-1)</f>
        <v>0.18859248741082801</v>
      </c>
      <c r="B679" s="2" t="e">
        <f t="shared" ca="1" si="18"/>
        <v>#N/A</v>
      </c>
      <c r="C679" s="1">
        <v>679</v>
      </c>
      <c r="D679" s="1" t="s">
        <v>1367</v>
      </c>
      <c r="E679" s="1" t="s">
        <v>1368</v>
      </c>
    </row>
    <row r="680" spans="1:5" ht="25">
      <c r="A680" s="2">
        <f ca="1">IF(COUNTIF($AA$1:$BXX$24,680) = 0,RAND(),RAND()-1)</f>
        <v>0.72354249693159611</v>
      </c>
      <c r="B680" s="2" t="e">
        <f t="shared" ca="1" si="18"/>
        <v>#N/A</v>
      </c>
      <c r="C680" s="1">
        <v>680</v>
      </c>
      <c r="D680" s="1" t="s">
        <v>1369</v>
      </c>
      <c r="E680" s="1" t="s">
        <v>1370</v>
      </c>
    </row>
    <row r="681" spans="1:5" ht="25">
      <c r="A681" s="2">
        <f ca="1">IF(COUNTIF($AA$1:$BXX$24,681) = 0,RAND(),RAND()-1)</f>
        <v>0.72310731943874074</v>
      </c>
      <c r="B681" s="2" t="e">
        <f t="shared" ca="1" si="18"/>
        <v>#N/A</v>
      </c>
      <c r="C681" s="1">
        <v>681</v>
      </c>
      <c r="D681" s="1" t="s">
        <v>1371</v>
      </c>
      <c r="E681" s="1" t="s">
        <v>1372</v>
      </c>
    </row>
    <row r="682" spans="1:5" ht="25">
      <c r="A682" s="2">
        <f ca="1">IF(COUNTIF($AA$1:$BXX$24,682) = 0,RAND(),RAND()-1)</f>
        <v>0.12639425928559256</v>
      </c>
      <c r="B682" s="2" t="e">
        <f t="shared" ca="1" si="18"/>
        <v>#N/A</v>
      </c>
      <c r="C682" s="1">
        <v>682</v>
      </c>
      <c r="D682" s="1" t="s">
        <v>1373</v>
      </c>
      <c r="E682" s="1" t="s">
        <v>1374</v>
      </c>
    </row>
    <row r="683" spans="1:5" ht="25">
      <c r="A683" s="2">
        <f ca="1">IF(COUNTIF($AA$1:$BXX$24,683) = 0,RAND(),RAND()-1)</f>
        <v>0.84552982601420845</v>
      </c>
      <c r="B683" s="2" t="e">
        <f t="shared" ca="1" si="18"/>
        <v>#N/A</v>
      </c>
      <c r="C683" s="1">
        <v>683</v>
      </c>
      <c r="D683" s="1" t="s">
        <v>1375</v>
      </c>
      <c r="E683" s="1" t="s">
        <v>1376</v>
      </c>
    </row>
    <row r="684" spans="1:5" ht="25">
      <c r="A684" s="2">
        <f ca="1">IF(COUNTIF($AA$1:$BXX$24,684) = 0,RAND(),RAND()-1)</f>
        <v>0.1258054185359696</v>
      </c>
      <c r="B684" s="2" t="e">
        <f t="shared" ca="1" si="18"/>
        <v>#N/A</v>
      </c>
      <c r="C684" s="1">
        <v>684</v>
      </c>
      <c r="D684" s="1" t="s">
        <v>1377</v>
      </c>
      <c r="E684" s="1" t="s">
        <v>1378</v>
      </c>
    </row>
    <row r="685" spans="1:5" ht="25">
      <c r="A685" s="2">
        <f ca="1">IF(COUNTIF($AA$1:$BXX$24,685) = 0,RAND(),RAND()-1)</f>
        <v>0.33304111669057679</v>
      </c>
      <c r="B685" s="2" t="e">
        <f t="shared" ca="1" si="18"/>
        <v>#N/A</v>
      </c>
      <c r="C685" s="1">
        <v>685</v>
      </c>
      <c r="D685" s="1" t="s">
        <v>1379</v>
      </c>
      <c r="E685" s="1" t="s">
        <v>1380</v>
      </c>
    </row>
    <row r="686" spans="1:5" ht="25">
      <c r="A686" s="2">
        <f ca="1">IF(COUNTIF($AA$1:$BXX$24,686) = 0,RAND(),RAND()-1)</f>
        <v>0.93396119541765943</v>
      </c>
      <c r="B686" s="2" t="e">
        <f t="shared" ca="1" si="18"/>
        <v>#N/A</v>
      </c>
      <c r="C686" s="1">
        <v>686</v>
      </c>
      <c r="D686" s="1" t="s">
        <v>1381</v>
      </c>
      <c r="E686" s="1" t="s">
        <v>1382</v>
      </c>
    </row>
    <row r="687" spans="1:5" ht="25">
      <c r="A687" s="2">
        <f ca="1">IF(COUNTIF($AA$1:$BXX$24,687) = 0,RAND(),RAND()-1)</f>
        <v>0.52140868994021305</v>
      </c>
      <c r="B687" s="2" t="e">
        <f t="shared" ca="1" si="18"/>
        <v>#N/A</v>
      </c>
      <c r="C687" s="1">
        <v>687</v>
      </c>
      <c r="D687" s="1" t="s">
        <v>1383</v>
      </c>
      <c r="E687" s="1" t="s">
        <v>1384</v>
      </c>
    </row>
    <row r="688" spans="1:5" ht="25">
      <c r="A688" s="2">
        <f ca="1">IF(COUNTIF($AA$1:$BXX$24,688) = 0,RAND(),RAND()-1)</f>
        <v>0.20010560568599756</v>
      </c>
      <c r="B688" s="2" t="e">
        <f t="shared" ca="1" si="18"/>
        <v>#N/A</v>
      </c>
      <c r="C688" s="1">
        <v>688</v>
      </c>
      <c r="D688" s="1" t="s">
        <v>1385</v>
      </c>
      <c r="E688" s="1" t="s">
        <v>1386</v>
      </c>
    </row>
    <row r="689" spans="1:5" ht="25">
      <c r="A689" s="2">
        <f ca="1">IF(COUNTIF($AA$1:$BXX$24,689) = 0,RAND(),RAND()-1)</f>
        <v>0.50529619306999085</v>
      </c>
      <c r="B689" s="2" t="e">
        <f t="shared" ca="1" si="18"/>
        <v>#N/A</v>
      </c>
      <c r="C689" s="1">
        <v>689</v>
      </c>
      <c r="D689" s="1" t="s">
        <v>1387</v>
      </c>
      <c r="E689" s="1" t="s">
        <v>1388</v>
      </c>
    </row>
    <row r="690" spans="1:5" ht="25">
      <c r="A690" s="2">
        <f ca="1">IF(COUNTIF($AA$1:$BXX$24,690) = 0,RAND(),RAND()-1)</f>
        <v>0.23414021916182826</v>
      </c>
      <c r="B690" s="2" t="e">
        <f t="shared" ca="1" si="18"/>
        <v>#N/A</v>
      </c>
      <c r="C690" s="1">
        <v>690</v>
      </c>
      <c r="D690" s="1" t="s">
        <v>1389</v>
      </c>
      <c r="E690" s="1" t="s">
        <v>1390</v>
      </c>
    </row>
    <row r="691" spans="1:5" ht="25">
      <c r="A691" s="2">
        <f ca="1">IF(COUNTIF($AA$1:$BXX$24,691) = 0,RAND(),RAND()-1)</f>
        <v>0.91588180923090912</v>
      </c>
      <c r="B691" s="2" t="e">
        <f t="shared" ca="1" si="18"/>
        <v>#N/A</v>
      </c>
      <c r="C691" s="1">
        <v>691</v>
      </c>
      <c r="D691" s="1" t="s">
        <v>1391</v>
      </c>
      <c r="E691" s="1" t="s">
        <v>1392</v>
      </c>
    </row>
    <row r="692" spans="1:5" ht="25">
      <c r="A692" s="2">
        <f ca="1">IF(COUNTIF($AA$1:$BXX$24,692) = 0,RAND(),RAND()-1)</f>
        <v>0.8551200246825934</v>
      </c>
      <c r="B692" s="2" t="e">
        <f t="shared" ca="1" si="18"/>
        <v>#N/A</v>
      </c>
      <c r="C692" s="1">
        <v>692</v>
      </c>
      <c r="D692" s="1" t="s">
        <v>1393</v>
      </c>
      <c r="E692" s="1" t="s">
        <v>1394</v>
      </c>
    </row>
    <row r="693" spans="1:5" ht="25">
      <c r="A693" s="2">
        <f ca="1">IF(COUNTIF($AA$1:$BXX$24,693) = 0,RAND(),RAND()-1)</f>
        <v>0.41993396240294234</v>
      </c>
      <c r="B693" s="2" t="e">
        <f t="shared" ca="1" si="18"/>
        <v>#N/A</v>
      </c>
      <c r="C693" s="1">
        <v>693</v>
      </c>
      <c r="D693" s="1" t="s">
        <v>1395</v>
      </c>
      <c r="E693" s="1" t="s">
        <v>1396</v>
      </c>
    </row>
    <row r="694" spans="1:5" ht="25">
      <c r="A694" s="2">
        <f ca="1">IF(COUNTIF($AA$1:$BXX$24,694) = 0,RAND(),RAND()-1)</f>
        <v>0.30730986945744143</v>
      </c>
      <c r="B694" s="2" t="e">
        <f t="shared" ca="1" si="18"/>
        <v>#N/A</v>
      </c>
      <c r="C694" s="1">
        <v>694</v>
      </c>
      <c r="D694" s="1" t="s">
        <v>1397</v>
      </c>
      <c r="E694" s="1" t="s">
        <v>1398</v>
      </c>
    </row>
    <row r="695" spans="1:5" ht="25">
      <c r="A695" s="2">
        <f ca="1">IF(COUNTIF($AA$1:$BXX$24,695) = 0,RAND(),RAND()-1)</f>
        <v>0.80111113594109329</v>
      </c>
      <c r="B695" s="2" t="e">
        <f t="shared" ca="1" si="18"/>
        <v>#N/A</v>
      </c>
      <c r="C695" s="1">
        <v>695</v>
      </c>
      <c r="D695" s="1" t="s">
        <v>1399</v>
      </c>
      <c r="E695" s="1" t="s">
        <v>1400</v>
      </c>
    </row>
    <row r="696" spans="1:5" ht="25">
      <c r="A696" s="2">
        <f ca="1">IF(COUNTIF($AA$1:$BXX$24,696) = 0,RAND(),RAND()-1)</f>
        <v>0.50000235419287375</v>
      </c>
      <c r="B696" s="2" t="e">
        <f t="shared" ca="1" si="18"/>
        <v>#N/A</v>
      </c>
      <c r="C696" s="1">
        <v>696</v>
      </c>
      <c r="D696" s="1" t="s">
        <v>1401</v>
      </c>
      <c r="E696" s="1" t="s">
        <v>1402</v>
      </c>
    </row>
    <row r="697" spans="1:5" ht="25">
      <c r="A697" s="2">
        <f ca="1">IF(COUNTIF($AA$1:$BXX$24,697) = 0,RAND(),RAND()-1)</f>
        <v>0.80864863271983478</v>
      </c>
      <c r="B697" s="2" t="e">
        <f t="shared" ca="1" si="18"/>
        <v>#N/A</v>
      </c>
      <c r="C697" s="1">
        <v>697</v>
      </c>
      <c r="D697" s="1" t="s">
        <v>1403</v>
      </c>
      <c r="E697" s="1" t="s">
        <v>1404</v>
      </c>
    </row>
    <row r="698" spans="1:5" ht="25">
      <c r="A698" s="2">
        <f ca="1">IF(COUNTIF($AA$1:$BXX$24,698) = 0,RAND(),RAND()-1)</f>
        <v>0.15478283255045466</v>
      </c>
      <c r="B698" s="2" t="e">
        <f t="shared" ca="1" si="18"/>
        <v>#N/A</v>
      </c>
      <c r="C698" s="1">
        <v>698</v>
      </c>
      <c r="D698" s="1" t="s">
        <v>1405</v>
      </c>
      <c r="E698" s="1" t="s">
        <v>1406</v>
      </c>
    </row>
    <row r="699" spans="1:5" ht="25">
      <c r="A699" s="2">
        <f ca="1">IF(COUNTIF($AA$1:$BXX$24,699) = 0,RAND(),RAND()-1)</f>
        <v>0.21850892387696552</v>
      </c>
      <c r="B699" s="2" t="e">
        <f t="shared" ca="1" si="18"/>
        <v>#N/A</v>
      </c>
      <c r="C699" s="1">
        <v>699</v>
      </c>
      <c r="D699" s="1" t="s">
        <v>1407</v>
      </c>
      <c r="E699" s="1" t="s">
        <v>1408</v>
      </c>
    </row>
    <row r="700" spans="1:5" ht="25">
      <c r="A700" s="2">
        <f ca="1">IF(COUNTIF($AA$1:$BXX$24,700) = 0,RAND(),RAND()-1)</f>
        <v>0.99865470063652062</v>
      </c>
      <c r="B700" s="2" t="e">
        <f t="shared" ca="1" si="18"/>
        <v>#N/A</v>
      </c>
      <c r="C700" s="1">
        <v>700</v>
      </c>
      <c r="D700" s="1" t="s">
        <v>1409</v>
      </c>
      <c r="E700" s="1" t="s">
        <v>1410</v>
      </c>
    </row>
    <row r="701" spans="1:5" ht="25">
      <c r="A701" s="2">
        <f ca="1">IF(COUNTIF($AA$1:$BXX$24,701) = 0,RAND(),RAND()-1)</f>
        <v>0.72220467293638602</v>
      </c>
      <c r="B701" s="2" t="e">
        <f t="shared" ca="1" si="18"/>
        <v>#N/A</v>
      </c>
      <c r="C701" s="1">
        <v>701</v>
      </c>
      <c r="D701" s="1" t="s">
        <v>1411</v>
      </c>
      <c r="E701" s="1" t="s">
        <v>1412</v>
      </c>
    </row>
    <row r="702" spans="1:5" ht="25">
      <c r="A702" s="2">
        <f ca="1">IF(COUNTIF($AA$1:$BXX$24,702) = 0,RAND(),RAND()-1)</f>
        <v>8.5184700827868776E-2</v>
      </c>
      <c r="B702" s="2" t="e">
        <f t="shared" ca="1" si="18"/>
        <v>#N/A</v>
      </c>
      <c r="C702" s="1">
        <v>702</v>
      </c>
      <c r="D702" s="1" t="s">
        <v>1413</v>
      </c>
      <c r="E702" s="1" t="s">
        <v>1414</v>
      </c>
    </row>
    <row r="703" spans="1:5" ht="25">
      <c r="A703" s="2">
        <f ca="1">IF(COUNTIF($AA$1:$BXX$24,703) = 0,RAND(),RAND()-1)</f>
        <v>8.2980388833316154E-2</v>
      </c>
      <c r="B703" s="2" t="e">
        <f t="shared" ca="1" si="18"/>
        <v>#N/A</v>
      </c>
      <c r="C703" s="1">
        <v>703</v>
      </c>
      <c r="D703" s="1" t="s">
        <v>1415</v>
      </c>
      <c r="E703" s="1" t="s">
        <v>1416</v>
      </c>
    </row>
    <row r="704" spans="1:5" ht="25">
      <c r="A704" s="2">
        <f ca="1">IF(COUNTIF($AA$1:$BXX$24,704) = 0,RAND(),RAND()-1)</f>
        <v>0.10862954042868123</v>
      </c>
      <c r="B704" s="2" t="e">
        <f t="shared" ca="1" si="18"/>
        <v>#N/A</v>
      </c>
      <c r="C704" s="1">
        <v>704</v>
      </c>
      <c r="D704" s="1" t="s">
        <v>1417</v>
      </c>
      <c r="E704" s="1" t="s">
        <v>1418</v>
      </c>
    </row>
    <row r="705" spans="1:5" ht="25">
      <c r="A705" s="2">
        <f ca="1">IF(COUNTIF($AA$1:$BXX$24,705) = 0,RAND(),RAND()-1)</f>
        <v>0.42454375324453797</v>
      </c>
      <c r="B705" s="2" t="e">
        <f t="shared" ref="B705:B768" ca="1" si="19">RANK(A705,OFFSET($A$1,$G$1-1,0,$G$2-$G$1+1))</f>
        <v>#N/A</v>
      </c>
      <c r="C705" s="1">
        <v>705</v>
      </c>
      <c r="D705" s="1" t="s">
        <v>1419</v>
      </c>
      <c r="E705" s="1" t="s">
        <v>1420</v>
      </c>
    </row>
    <row r="706" spans="1:5" ht="25">
      <c r="A706" s="2">
        <f ca="1">IF(COUNTIF($AA$1:$BXX$24,706) = 0,RAND(),RAND()-1)</f>
        <v>1.6172728378142542E-2</v>
      </c>
      <c r="B706" s="2" t="e">
        <f t="shared" ca="1" si="19"/>
        <v>#N/A</v>
      </c>
      <c r="C706" s="1">
        <v>706</v>
      </c>
      <c r="D706" s="1" t="s">
        <v>1421</v>
      </c>
      <c r="E706" s="1" t="s">
        <v>1422</v>
      </c>
    </row>
    <row r="707" spans="1:5" ht="25">
      <c r="A707" s="2">
        <f ca="1">IF(COUNTIF($AA$1:$BXX$24,707) = 0,RAND(),RAND()-1)</f>
        <v>0.11769505843644923</v>
      </c>
      <c r="B707" s="2" t="e">
        <f t="shared" ca="1" si="19"/>
        <v>#N/A</v>
      </c>
      <c r="C707" s="1">
        <v>707</v>
      </c>
      <c r="D707" s="1" t="s">
        <v>1423</v>
      </c>
      <c r="E707" s="1" t="s">
        <v>1424</v>
      </c>
    </row>
    <row r="708" spans="1:5" ht="25">
      <c r="A708" s="2">
        <f ca="1">IF(COUNTIF($AA$1:$BXX$24,708) = 0,RAND(),RAND()-1)</f>
        <v>0.19676047994085732</v>
      </c>
      <c r="B708" s="2" t="e">
        <f t="shared" ca="1" si="19"/>
        <v>#N/A</v>
      </c>
      <c r="C708" s="1">
        <v>708</v>
      </c>
      <c r="D708" s="1" t="s">
        <v>1425</v>
      </c>
      <c r="E708" s="1" t="s">
        <v>1426</v>
      </c>
    </row>
    <row r="709" spans="1:5" ht="25">
      <c r="A709" s="2">
        <f ca="1">IF(COUNTIF($AA$1:$BXX$24,709) = 0,RAND(),RAND()-1)</f>
        <v>0.85325801006156621</v>
      </c>
      <c r="B709" s="2" t="e">
        <f t="shared" ca="1" si="19"/>
        <v>#N/A</v>
      </c>
      <c r="C709" s="1">
        <v>709</v>
      </c>
      <c r="D709" s="1" t="s">
        <v>1427</v>
      </c>
      <c r="E709" s="1" t="s">
        <v>981</v>
      </c>
    </row>
    <row r="710" spans="1:5" ht="25">
      <c r="A710" s="2">
        <f ca="1">IF(COUNTIF($AA$1:$BXX$24,710) = 0,RAND(),RAND()-1)</f>
        <v>0.59014022648859576</v>
      </c>
      <c r="B710" s="2" t="e">
        <f t="shared" ca="1" si="19"/>
        <v>#N/A</v>
      </c>
      <c r="C710" s="1">
        <v>710</v>
      </c>
      <c r="D710" s="1" t="s">
        <v>1428</v>
      </c>
      <c r="E710" s="1" t="s">
        <v>1429</v>
      </c>
    </row>
    <row r="711" spans="1:5" ht="25">
      <c r="A711" s="2">
        <f ca="1">IF(COUNTIF($AA$1:$BXX$24,711) = 0,RAND(),RAND()-1)</f>
        <v>0.52597729012493555</v>
      </c>
      <c r="B711" s="2" t="e">
        <f t="shared" ca="1" si="19"/>
        <v>#N/A</v>
      </c>
      <c r="C711" s="1">
        <v>711</v>
      </c>
      <c r="D711" s="1" t="s">
        <v>1430</v>
      </c>
      <c r="E711" s="1" t="s">
        <v>1431</v>
      </c>
    </row>
    <row r="712" spans="1:5" ht="25">
      <c r="A712" s="2">
        <f ca="1">IF(COUNTIF($AA$1:$BXX$24,712) = 0,RAND(),RAND()-1)</f>
        <v>0.13768936198948611</v>
      </c>
      <c r="B712" s="2" t="e">
        <f t="shared" ca="1" si="19"/>
        <v>#N/A</v>
      </c>
      <c r="C712" s="1">
        <v>712</v>
      </c>
      <c r="D712" s="1" t="s">
        <v>1432</v>
      </c>
      <c r="E712" s="1" t="s">
        <v>1433</v>
      </c>
    </row>
    <row r="713" spans="1:5" ht="25">
      <c r="A713" s="2">
        <f ca="1">IF(COUNTIF($AA$1:$BXX$24,713) = 0,RAND(),RAND()-1)</f>
        <v>0.14585186675658091</v>
      </c>
      <c r="B713" s="2" t="e">
        <f t="shared" ca="1" si="19"/>
        <v>#N/A</v>
      </c>
      <c r="C713" s="1">
        <v>713</v>
      </c>
      <c r="D713" s="1" t="s">
        <v>1434</v>
      </c>
      <c r="E713" s="1" t="s">
        <v>1435</v>
      </c>
    </row>
    <row r="714" spans="1:5" ht="25">
      <c r="A714" s="2">
        <f ca="1">IF(COUNTIF($AA$1:$BXX$24,714) = 0,RAND(),RAND()-1)</f>
        <v>0.86051056308993557</v>
      </c>
      <c r="B714" s="2" t="e">
        <f t="shared" ca="1" si="19"/>
        <v>#N/A</v>
      </c>
      <c r="C714" s="1">
        <v>714</v>
      </c>
      <c r="D714" s="1" t="s">
        <v>1436</v>
      </c>
      <c r="E714" s="1" t="s">
        <v>1437</v>
      </c>
    </row>
    <row r="715" spans="1:5" ht="25">
      <c r="A715" s="2">
        <f ca="1">IF(COUNTIF($AA$1:$BXX$24,715) = 0,RAND(),RAND()-1)</f>
        <v>0.13784570948099328</v>
      </c>
      <c r="B715" s="2" t="e">
        <f t="shared" ca="1" si="19"/>
        <v>#N/A</v>
      </c>
      <c r="C715" s="1">
        <v>715</v>
      </c>
      <c r="D715" s="1" t="s">
        <v>1438</v>
      </c>
      <c r="E715" s="1" t="s">
        <v>1439</v>
      </c>
    </row>
    <row r="716" spans="1:5" ht="25">
      <c r="A716" s="2">
        <f ca="1">IF(COUNTIF($AA$1:$BXX$24,716) = 0,RAND(),RAND()-1)</f>
        <v>0.60027127116928125</v>
      </c>
      <c r="B716" s="2" t="e">
        <f t="shared" ca="1" si="19"/>
        <v>#N/A</v>
      </c>
      <c r="C716" s="1">
        <v>716</v>
      </c>
      <c r="D716" s="1" t="s">
        <v>1440</v>
      </c>
      <c r="E716" s="1" t="s">
        <v>1441</v>
      </c>
    </row>
    <row r="717" spans="1:5" ht="25">
      <c r="A717" s="2">
        <f ca="1">IF(COUNTIF($AA$1:$BXX$24,717) = 0,RAND(),RAND()-1)</f>
        <v>0.80564604074493118</v>
      </c>
      <c r="B717" s="2" t="e">
        <f t="shared" ca="1" si="19"/>
        <v>#N/A</v>
      </c>
      <c r="C717" s="1">
        <v>717</v>
      </c>
      <c r="D717" s="1" t="s">
        <v>1442</v>
      </c>
      <c r="E717" s="1" t="s">
        <v>1443</v>
      </c>
    </row>
    <row r="718" spans="1:5" ht="25">
      <c r="A718" s="2">
        <f ca="1">IF(COUNTIF($AA$1:$BXX$24,718) = 0,RAND(),RAND()-1)</f>
        <v>0.98065059096496277</v>
      </c>
      <c r="B718" s="2" t="e">
        <f t="shared" ca="1" si="19"/>
        <v>#N/A</v>
      </c>
      <c r="C718" s="1">
        <v>718</v>
      </c>
      <c r="D718" s="1" t="s">
        <v>1444</v>
      </c>
      <c r="E718" s="1" t="s">
        <v>1445</v>
      </c>
    </row>
    <row r="719" spans="1:5" ht="25">
      <c r="A719" s="2">
        <f ca="1">IF(COUNTIF($AA$1:$BXX$24,719) = 0,RAND(),RAND()-1)</f>
        <v>2.6628264208292896E-2</v>
      </c>
      <c r="B719" s="2" t="e">
        <f t="shared" ca="1" si="19"/>
        <v>#N/A</v>
      </c>
      <c r="C719" s="1">
        <v>719</v>
      </c>
      <c r="D719" s="1" t="s">
        <v>1446</v>
      </c>
      <c r="E719" s="1" t="s">
        <v>1447</v>
      </c>
    </row>
    <row r="720" spans="1:5" ht="25">
      <c r="A720" s="2">
        <f ca="1">IF(COUNTIF($AA$1:$BXX$24,720) = 0,RAND(),RAND()-1)</f>
        <v>0.53081630978564442</v>
      </c>
      <c r="B720" s="2" t="e">
        <f t="shared" ca="1" si="19"/>
        <v>#N/A</v>
      </c>
      <c r="C720" s="1">
        <v>720</v>
      </c>
      <c r="D720" s="1" t="s">
        <v>1448</v>
      </c>
      <c r="E720" s="1" t="s">
        <v>1449</v>
      </c>
    </row>
    <row r="721" spans="1:5" ht="25">
      <c r="A721" s="2">
        <f ca="1">IF(COUNTIF($AA$1:$BXX$24,721) = 0,RAND(),RAND()-1)</f>
        <v>0.43389670173649286</v>
      </c>
      <c r="B721" s="2" t="e">
        <f t="shared" ca="1" si="19"/>
        <v>#N/A</v>
      </c>
      <c r="C721" s="1">
        <v>721</v>
      </c>
      <c r="D721" s="1" t="s">
        <v>1450</v>
      </c>
      <c r="E721" s="1" t="s">
        <v>1451</v>
      </c>
    </row>
    <row r="722" spans="1:5" ht="25">
      <c r="A722" s="2">
        <f ca="1">IF(COUNTIF($AA$1:$BXX$24,722) = 0,RAND(),RAND()-1)</f>
        <v>8.5533439306681225E-2</v>
      </c>
      <c r="B722" s="2" t="e">
        <f t="shared" ca="1" si="19"/>
        <v>#N/A</v>
      </c>
      <c r="C722" s="1">
        <v>722</v>
      </c>
      <c r="D722" s="1" t="s">
        <v>1452</v>
      </c>
      <c r="E722" s="1" t="s">
        <v>1453</v>
      </c>
    </row>
    <row r="723" spans="1:5" ht="25">
      <c r="A723" s="2">
        <f ca="1">IF(COUNTIF($AA$1:$BXX$24,723) = 0,RAND(),RAND()-1)</f>
        <v>0.75409190407164994</v>
      </c>
      <c r="B723" s="2" t="e">
        <f t="shared" ca="1" si="19"/>
        <v>#N/A</v>
      </c>
      <c r="C723" s="1">
        <v>723</v>
      </c>
      <c r="D723" s="1" t="s">
        <v>1454</v>
      </c>
      <c r="E723" s="1" t="s">
        <v>1455</v>
      </c>
    </row>
    <row r="724" spans="1:5" ht="25">
      <c r="A724" s="2">
        <f ca="1">IF(COUNTIF($AA$1:$BXX$24,724) = 0,RAND(),RAND()-1)</f>
        <v>5.269406845943847E-2</v>
      </c>
      <c r="B724" s="2" t="e">
        <f t="shared" ca="1" si="19"/>
        <v>#N/A</v>
      </c>
      <c r="C724" s="1">
        <v>724</v>
      </c>
      <c r="D724" s="1" t="s">
        <v>1456</v>
      </c>
      <c r="E724" s="1" t="s">
        <v>1457</v>
      </c>
    </row>
    <row r="725" spans="1:5" ht="25">
      <c r="A725" s="2">
        <f ca="1">IF(COUNTIF($AA$1:$BXX$24,725) = 0,RAND(),RAND()-1)</f>
        <v>0.55759853850637509</v>
      </c>
      <c r="B725" s="2" t="e">
        <f t="shared" ca="1" si="19"/>
        <v>#N/A</v>
      </c>
      <c r="C725" s="1">
        <v>725</v>
      </c>
      <c r="D725" s="1" t="s">
        <v>1458</v>
      </c>
      <c r="E725" s="1" t="s">
        <v>1459</v>
      </c>
    </row>
    <row r="726" spans="1:5" ht="25">
      <c r="A726" s="2">
        <f ca="1">IF(COUNTIF($AA$1:$BXX$24,726) = 0,RAND(),RAND()-1)</f>
        <v>3.0785158633525045E-2</v>
      </c>
      <c r="B726" s="2" t="e">
        <f t="shared" ca="1" si="19"/>
        <v>#N/A</v>
      </c>
      <c r="C726" s="1">
        <v>726</v>
      </c>
      <c r="D726" s="1" t="s">
        <v>1460</v>
      </c>
      <c r="E726" s="1" t="s">
        <v>1461</v>
      </c>
    </row>
    <row r="727" spans="1:5" ht="25">
      <c r="A727" s="2">
        <f ca="1">IF(COUNTIF($AA$1:$BXX$24,727) = 0,RAND(),RAND()-1)</f>
        <v>0.23134463973164454</v>
      </c>
      <c r="B727" s="2" t="e">
        <f t="shared" ca="1" si="19"/>
        <v>#N/A</v>
      </c>
      <c r="C727" s="1">
        <v>727</v>
      </c>
      <c r="D727" s="1" t="s">
        <v>1462</v>
      </c>
      <c r="E727" s="1" t="s">
        <v>1463</v>
      </c>
    </row>
    <row r="728" spans="1:5" ht="25">
      <c r="A728" s="2">
        <f ca="1">IF(COUNTIF($AA$1:$BXX$24,728) = 0,RAND(),RAND()-1)</f>
        <v>0.84558645409058042</v>
      </c>
      <c r="B728" s="2" t="e">
        <f t="shared" ca="1" si="19"/>
        <v>#N/A</v>
      </c>
      <c r="C728" s="1">
        <v>728</v>
      </c>
      <c r="D728" s="1" t="s">
        <v>1464</v>
      </c>
      <c r="E728" s="1" t="s">
        <v>1465</v>
      </c>
    </row>
    <row r="729" spans="1:5" ht="25">
      <c r="A729" s="2">
        <f ca="1">IF(COUNTIF($AA$1:$BXX$24,729) = 0,RAND(),RAND()-1)</f>
        <v>0.94541444672803843</v>
      </c>
      <c r="B729" s="2" t="e">
        <f t="shared" ca="1" si="19"/>
        <v>#N/A</v>
      </c>
      <c r="C729" s="1">
        <v>729</v>
      </c>
      <c r="D729" s="1" t="s">
        <v>1466</v>
      </c>
      <c r="E729" s="1" t="s">
        <v>1467</v>
      </c>
    </row>
    <row r="730" spans="1:5" ht="25">
      <c r="A730" s="2">
        <f ca="1">IF(COUNTIF($AA$1:$BXX$24,730) = 0,RAND(),RAND()-1)</f>
        <v>0.53632241416767557</v>
      </c>
      <c r="B730" s="2" t="e">
        <f t="shared" ca="1" si="19"/>
        <v>#N/A</v>
      </c>
      <c r="C730" s="1">
        <v>730</v>
      </c>
      <c r="D730" s="1" t="s">
        <v>1468</v>
      </c>
      <c r="E730" s="1" t="s">
        <v>1469</v>
      </c>
    </row>
    <row r="731" spans="1:5" ht="25">
      <c r="A731" s="2">
        <f ca="1">IF(COUNTIF($AA$1:$BXX$24,731) = 0,RAND(),RAND()-1)</f>
        <v>0.86827506609622407</v>
      </c>
      <c r="B731" s="2" t="e">
        <f t="shared" ca="1" si="19"/>
        <v>#N/A</v>
      </c>
      <c r="C731" s="1">
        <v>731</v>
      </c>
      <c r="D731" s="1" t="s">
        <v>1470</v>
      </c>
      <c r="E731" s="1" t="s">
        <v>1471</v>
      </c>
    </row>
    <row r="732" spans="1:5" ht="25">
      <c r="A732" s="2">
        <f ca="1">IF(COUNTIF($AA$1:$BXX$24,732) = 0,RAND(),RAND()-1)</f>
        <v>0.1534490873877159</v>
      </c>
      <c r="B732" s="2" t="e">
        <f t="shared" ca="1" si="19"/>
        <v>#N/A</v>
      </c>
      <c r="C732" s="1">
        <v>732</v>
      </c>
      <c r="D732" s="1" t="s">
        <v>1472</v>
      </c>
      <c r="E732" s="1" t="s">
        <v>1473</v>
      </c>
    </row>
    <row r="733" spans="1:5" ht="25">
      <c r="A733" s="2">
        <f ca="1">IF(COUNTIF($AA$1:$BXX$24,733) = 0,RAND(),RAND()-1)</f>
        <v>0.58101574898780028</v>
      </c>
      <c r="B733" s="2" t="e">
        <f t="shared" ca="1" si="19"/>
        <v>#N/A</v>
      </c>
      <c r="C733" s="1">
        <v>733</v>
      </c>
      <c r="D733" s="1" t="s">
        <v>1474</v>
      </c>
      <c r="E733" s="1" t="s">
        <v>1475</v>
      </c>
    </row>
    <row r="734" spans="1:5" ht="25">
      <c r="A734" s="2">
        <f ca="1">IF(COUNTIF($AA$1:$BXX$24,734) = 0,RAND(),RAND()-1)</f>
        <v>0.61566212179288726</v>
      </c>
      <c r="B734" s="2" t="e">
        <f t="shared" ca="1" si="19"/>
        <v>#N/A</v>
      </c>
      <c r="C734" s="1">
        <v>734</v>
      </c>
      <c r="D734" s="1" t="s">
        <v>1476</v>
      </c>
      <c r="E734" s="1" t="s">
        <v>1477</v>
      </c>
    </row>
    <row r="735" spans="1:5" ht="25">
      <c r="A735" s="2">
        <f ca="1">IF(COUNTIF($AA$1:$BXX$24,735) = 0,RAND(),RAND()-1)</f>
        <v>0.20327320141048899</v>
      </c>
      <c r="B735" s="2" t="e">
        <f t="shared" ca="1" si="19"/>
        <v>#N/A</v>
      </c>
      <c r="C735" s="1">
        <v>735</v>
      </c>
      <c r="D735" s="1" t="s">
        <v>1478</v>
      </c>
      <c r="E735" s="1" t="s">
        <v>1479</v>
      </c>
    </row>
    <row r="736" spans="1:5" ht="25">
      <c r="A736" s="2">
        <f ca="1">IF(COUNTIF($AA$1:$BXX$24,736) = 0,RAND(),RAND()-1)</f>
        <v>0.20224193684773006</v>
      </c>
      <c r="B736" s="2" t="e">
        <f t="shared" ca="1" si="19"/>
        <v>#N/A</v>
      </c>
      <c r="C736" s="1">
        <v>736</v>
      </c>
      <c r="D736" s="1" t="s">
        <v>1480</v>
      </c>
      <c r="E736" s="1" t="s">
        <v>1481</v>
      </c>
    </row>
    <row r="737" spans="1:5" ht="25">
      <c r="A737" s="2">
        <f ca="1">IF(COUNTIF($AA$1:$BXX$24,737) = 0,RAND(),RAND()-1)</f>
        <v>0.35113508068550037</v>
      </c>
      <c r="B737" s="2" t="e">
        <f t="shared" ca="1" si="19"/>
        <v>#N/A</v>
      </c>
      <c r="C737" s="1">
        <v>737</v>
      </c>
      <c r="D737" s="1" t="s">
        <v>1482</v>
      </c>
      <c r="E737" s="1" t="s">
        <v>1483</v>
      </c>
    </row>
    <row r="738" spans="1:5" ht="25">
      <c r="A738" s="2">
        <f ca="1">IF(COUNTIF($AA$1:$BXX$24,738) = 0,RAND(),RAND()-1)</f>
        <v>0.53449683204172171</v>
      </c>
      <c r="B738" s="2" t="e">
        <f t="shared" ca="1" si="19"/>
        <v>#N/A</v>
      </c>
      <c r="C738" s="1">
        <v>738</v>
      </c>
      <c r="D738" s="1" t="s">
        <v>1484</v>
      </c>
      <c r="E738" s="1" t="s">
        <v>1485</v>
      </c>
    </row>
    <row r="739" spans="1:5" ht="25">
      <c r="A739" s="2">
        <f ca="1">IF(COUNTIF($AA$1:$BXX$24,739) = 0,RAND(),RAND()-1)</f>
        <v>5.3051954635862208E-2</v>
      </c>
      <c r="B739" s="2" t="e">
        <f t="shared" ca="1" si="19"/>
        <v>#N/A</v>
      </c>
      <c r="C739" s="1">
        <v>739</v>
      </c>
      <c r="D739" s="1" t="s">
        <v>1486</v>
      </c>
      <c r="E739" s="1" t="s">
        <v>1487</v>
      </c>
    </row>
    <row r="740" spans="1:5" ht="25">
      <c r="A740" s="2">
        <f ca="1">IF(COUNTIF($AA$1:$BXX$24,740) = 0,RAND(),RAND()-1)</f>
        <v>0.5414333517573735</v>
      </c>
      <c r="B740" s="2" t="e">
        <f t="shared" ca="1" si="19"/>
        <v>#N/A</v>
      </c>
      <c r="C740" s="1">
        <v>740</v>
      </c>
      <c r="D740" s="1" t="s">
        <v>1488</v>
      </c>
      <c r="E740" s="1" t="s">
        <v>1489</v>
      </c>
    </row>
    <row r="741" spans="1:5" ht="25">
      <c r="A741" s="2">
        <f ca="1">IF(COUNTIF($AA$1:$BXX$24,741) = 0,RAND(),RAND()-1)</f>
        <v>0.77209091196442015</v>
      </c>
      <c r="B741" s="2" t="e">
        <f t="shared" ca="1" si="19"/>
        <v>#N/A</v>
      </c>
      <c r="C741" s="1">
        <v>741</v>
      </c>
      <c r="D741" s="1" t="s">
        <v>1490</v>
      </c>
      <c r="E741" s="1" t="s">
        <v>1491</v>
      </c>
    </row>
    <row r="742" spans="1:5" ht="25">
      <c r="A742" s="2">
        <f ca="1">IF(COUNTIF($AA$1:$BXX$24,742) = 0,RAND(),RAND()-1)</f>
        <v>0.70376370837506663</v>
      </c>
      <c r="B742" s="2" t="e">
        <f t="shared" ca="1" si="19"/>
        <v>#N/A</v>
      </c>
      <c r="C742" s="1">
        <v>742</v>
      </c>
      <c r="D742" s="1" t="s">
        <v>1492</v>
      </c>
      <c r="E742" s="1" t="s">
        <v>1493</v>
      </c>
    </row>
    <row r="743" spans="1:5" ht="25">
      <c r="A743" s="2">
        <f ca="1">IF(COUNTIF($AA$1:$BXX$24,743) = 0,RAND(),RAND()-1)</f>
        <v>0.40030798836797366</v>
      </c>
      <c r="B743" s="2" t="e">
        <f t="shared" ca="1" si="19"/>
        <v>#N/A</v>
      </c>
      <c r="C743" s="1">
        <v>743</v>
      </c>
      <c r="D743" s="1" t="s">
        <v>1494</v>
      </c>
      <c r="E743" s="1" t="s">
        <v>1495</v>
      </c>
    </row>
    <row r="744" spans="1:5" ht="25">
      <c r="A744" s="2">
        <f ca="1">IF(COUNTIF($AA$1:$BXX$24,744) = 0,RAND(),RAND()-1)</f>
        <v>0.37646094288082266</v>
      </c>
      <c r="B744" s="2" t="e">
        <f t="shared" ca="1" si="19"/>
        <v>#N/A</v>
      </c>
      <c r="C744" s="1">
        <v>744</v>
      </c>
      <c r="D744" s="1" t="s">
        <v>1496</v>
      </c>
      <c r="E744" s="1" t="s">
        <v>1497</v>
      </c>
    </row>
    <row r="745" spans="1:5" ht="25">
      <c r="A745" s="2">
        <f ca="1">IF(COUNTIF($AA$1:$BXX$24,745) = 0,RAND(),RAND()-1)</f>
        <v>0.97181957984712386</v>
      </c>
      <c r="B745" s="2" t="e">
        <f t="shared" ca="1" si="19"/>
        <v>#N/A</v>
      </c>
      <c r="C745" s="1">
        <v>745</v>
      </c>
      <c r="D745" s="1" t="s">
        <v>1498</v>
      </c>
      <c r="E745" s="1" t="s">
        <v>1499</v>
      </c>
    </row>
    <row r="746" spans="1:5" ht="25">
      <c r="A746" s="2">
        <f ca="1">IF(COUNTIF($AA$1:$BXX$24,746) = 0,RAND(),RAND()-1)</f>
        <v>0.52255278353553736</v>
      </c>
      <c r="B746" s="2" t="e">
        <f t="shared" ca="1" si="19"/>
        <v>#N/A</v>
      </c>
      <c r="C746" s="1">
        <v>746</v>
      </c>
      <c r="D746" s="1" t="s">
        <v>1500</v>
      </c>
      <c r="E746" s="1" t="s">
        <v>1501</v>
      </c>
    </row>
    <row r="747" spans="1:5" ht="25">
      <c r="A747" s="2">
        <f ca="1">IF(COUNTIF($AA$1:$BXX$24,747) = 0,RAND(),RAND()-1)</f>
        <v>0.29227872073264416</v>
      </c>
      <c r="B747" s="2" t="e">
        <f t="shared" ca="1" si="19"/>
        <v>#N/A</v>
      </c>
      <c r="C747" s="1">
        <v>747</v>
      </c>
      <c r="D747" s="1" t="s">
        <v>1502</v>
      </c>
      <c r="E747" s="1" t="s">
        <v>1503</v>
      </c>
    </row>
    <row r="748" spans="1:5" ht="25">
      <c r="A748" s="2">
        <f ca="1">IF(COUNTIF($AA$1:$BXX$24,748) = 0,RAND(),RAND()-1)</f>
        <v>0.68601522027582484</v>
      </c>
      <c r="B748" s="2" t="e">
        <f t="shared" ca="1" si="19"/>
        <v>#N/A</v>
      </c>
      <c r="C748" s="1">
        <v>748</v>
      </c>
      <c r="D748" s="1" t="s">
        <v>1504</v>
      </c>
      <c r="E748" s="1" t="s">
        <v>1505</v>
      </c>
    </row>
    <row r="749" spans="1:5" ht="25">
      <c r="A749" s="2">
        <f ca="1">IF(COUNTIF($AA$1:$BXX$24,749) = 0,RAND(),RAND()-1)</f>
        <v>0.46213413801774805</v>
      </c>
      <c r="B749" s="2" t="e">
        <f t="shared" ca="1" si="19"/>
        <v>#N/A</v>
      </c>
      <c r="C749" s="1">
        <v>749</v>
      </c>
      <c r="D749" s="1" t="s">
        <v>1506</v>
      </c>
      <c r="E749" s="1" t="s">
        <v>1507</v>
      </c>
    </row>
    <row r="750" spans="1:5" ht="25">
      <c r="A750" s="2">
        <f ca="1">IF(COUNTIF($AA$1:$BXX$24,750) = 0,RAND(),RAND()-1)</f>
        <v>0.1589789673394929</v>
      </c>
      <c r="B750" s="2" t="e">
        <f t="shared" ca="1" si="19"/>
        <v>#N/A</v>
      </c>
      <c r="C750" s="1">
        <v>750</v>
      </c>
      <c r="D750" s="1" t="s">
        <v>1508</v>
      </c>
      <c r="E750" s="1" t="s">
        <v>1509</v>
      </c>
    </row>
    <row r="751" spans="1:5" ht="25">
      <c r="A751" s="2">
        <f ca="1">IF(COUNTIF($AA$1:$BXX$24,751) = 0,RAND(),RAND()-1)</f>
        <v>0.30697062638177086</v>
      </c>
      <c r="B751" s="2" t="e">
        <f t="shared" ca="1" si="19"/>
        <v>#N/A</v>
      </c>
      <c r="C751" s="1">
        <v>751</v>
      </c>
      <c r="D751" s="1" t="s">
        <v>1510</v>
      </c>
      <c r="E751" s="1" t="s">
        <v>1511</v>
      </c>
    </row>
    <row r="752" spans="1:5" ht="25">
      <c r="A752" s="2">
        <f ca="1">IF(COUNTIF($AA$1:$BXX$24,752) = 0,RAND(),RAND()-1)</f>
        <v>0.28977426163218667</v>
      </c>
      <c r="B752" s="2" t="e">
        <f t="shared" ca="1" si="19"/>
        <v>#N/A</v>
      </c>
      <c r="C752" s="1">
        <v>752</v>
      </c>
      <c r="D752" s="1" t="s">
        <v>1512</v>
      </c>
      <c r="E752" s="1" t="s">
        <v>1513</v>
      </c>
    </row>
    <row r="753" spans="1:5" ht="25">
      <c r="A753" s="2">
        <f ca="1">IF(COUNTIF($AA$1:$BXX$24,753) = 0,RAND(),RAND()-1)</f>
        <v>0.43946989452186913</v>
      </c>
      <c r="B753" s="2" t="e">
        <f t="shared" ca="1" si="19"/>
        <v>#N/A</v>
      </c>
      <c r="C753" s="1">
        <v>753</v>
      </c>
      <c r="D753" s="1" t="s">
        <v>1514</v>
      </c>
      <c r="E753" s="1" t="s">
        <v>1515</v>
      </c>
    </row>
    <row r="754" spans="1:5" ht="25">
      <c r="A754" s="2">
        <f ca="1">IF(COUNTIF($AA$1:$BXX$24,754) = 0,RAND(),RAND()-1)</f>
        <v>0.24307297814337336</v>
      </c>
      <c r="B754" s="2" t="e">
        <f t="shared" ca="1" si="19"/>
        <v>#N/A</v>
      </c>
      <c r="C754" s="1">
        <v>754</v>
      </c>
      <c r="D754" s="1" t="s">
        <v>1516</v>
      </c>
      <c r="E754" s="1" t="s">
        <v>1517</v>
      </c>
    </row>
    <row r="755" spans="1:5" ht="25">
      <c r="A755" s="2">
        <f ca="1">IF(COUNTIF($AA$1:$BXX$24,755) = 0,RAND(),RAND()-1)</f>
        <v>0.39574884733074278</v>
      </c>
      <c r="B755" s="2" t="e">
        <f t="shared" ca="1" si="19"/>
        <v>#N/A</v>
      </c>
      <c r="C755" s="1">
        <v>755</v>
      </c>
      <c r="D755" s="1" t="s">
        <v>1518</v>
      </c>
      <c r="E755" s="1" t="s">
        <v>1519</v>
      </c>
    </row>
    <row r="756" spans="1:5" ht="25">
      <c r="A756" s="2">
        <f ca="1">IF(COUNTIF($AA$1:$BXX$24,756) = 0,RAND(),RAND()-1)</f>
        <v>0.50413532863680044</v>
      </c>
      <c r="B756" s="2" t="e">
        <f t="shared" ca="1" si="19"/>
        <v>#N/A</v>
      </c>
      <c r="C756" s="1">
        <v>756</v>
      </c>
      <c r="D756" s="1" t="s">
        <v>1520</v>
      </c>
      <c r="E756" s="1" t="s">
        <v>1521</v>
      </c>
    </row>
    <row r="757" spans="1:5" ht="25">
      <c r="A757" s="2">
        <f ca="1">IF(COUNTIF($AA$1:$BXX$24,757) = 0,RAND(),RAND()-1)</f>
        <v>0.64477830725154528</v>
      </c>
      <c r="B757" s="2" t="e">
        <f t="shared" ca="1" si="19"/>
        <v>#N/A</v>
      </c>
      <c r="C757" s="1">
        <v>757</v>
      </c>
      <c r="D757" s="1" t="s">
        <v>1522</v>
      </c>
      <c r="E757" s="1" t="s">
        <v>1523</v>
      </c>
    </row>
    <row r="758" spans="1:5" ht="25">
      <c r="A758" s="2">
        <f ca="1">IF(COUNTIF($AA$1:$BXX$24,758) = 0,RAND(),RAND()-1)</f>
        <v>0.23580500900840262</v>
      </c>
      <c r="B758" s="2" t="e">
        <f t="shared" ca="1" si="19"/>
        <v>#N/A</v>
      </c>
      <c r="C758" s="1">
        <v>758</v>
      </c>
      <c r="D758" s="1" t="s">
        <v>1524</v>
      </c>
      <c r="E758" s="1" t="s">
        <v>1525</v>
      </c>
    </row>
    <row r="759" spans="1:5" ht="25">
      <c r="A759" s="2">
        <f ca="1">IF(COUNTIF($AA$1:$BXX$24,759) = 0,RAND(),RAND()-1)</f>
        <v>0.3495955935670968</v>
      </c>
      <c r="B759" s="2" t="e">
        <f t="shared" ca="1" si="19"/>
        <v>#N/A</v>
      </c>
      <c r="C759" s="1">
        <v>759</v>
      </c>
      <c r="D759" s="1" t="s">
        <v>1526</v>
      </c>
      <c r="E759" s="1" t="s">
        <v>1527</v>
      </c>
    </row>
    <row r="760" spans="1:5" ht="25">
      <c r="A760" s="2">
        <f ca="1">IF(COUNTIF($AA$1:$BXX$24,760) = 0,RAND(),RAND()-1)</f>
        <v>0.37282648234119775</v>
      </c>
      <c r="B760" s="2" t="e">
        <f t="shared" ca="1" si="19"/>
        <v>#N/A</v>
      </c>
      <c r="C760" s="1">
        <v>760</v>
      </c>
      <c r="D760" s="1" t="s">
        <v>1528</v>
      </c>
      <c r="E760" s="1" t="s">
        <v>1529</v>
      </c>
    </row>
    <row r="761" spans="1:5" ht="25">
      <c r="A761" s="2">
        <f ca="1">IF(COUNTIF($AA$1:$BXX$24,761) = 0,RAND(),RAND()-1)</f>
        <v>0.36039641931326094</v>
      </c>
      <c r="B761" s="2" t="e">
        <f t="shared" ca="1" si="19"/>
        <v>#N/A</v>
      </c>
      <c r="C761" s="1">
        <v>761</v>
      </c>
      <c r="D761" s="1" t="s">
        <v>1530</v>
      </c>
      <c r="E761" s="1" t="s">
        <v>1531</v>
      </c>
    </row>
    <row r="762" spans="1:5" ht="25">
      <c r="A762" s="2">
        <f ca="1">IF(COUNTIF($AA$1:$BXX$24,762) = 0,RAND(),RAND()-1)</f>
        <v>0.27159375365114702</v>
      </c>
      <c r="B762" s="2" t="e">
        <f t="shared" ca="1" si="19"/>
        <v>#N/A</v>
      </c>
      <c r="C762" s="1">
        <v>762</v>
      </c>
      <c r="D762" s="1" t="s">
        <v>1532</v>
      </c>
      <c r="E762" s="1" t="s">
        <v>1533</v>
      </c>
    </row>
    <row r="763" spans="1:5" ht="25">
      <c r="A763" s="2">
        <f ca="1">IF(COUNTIF($AA$1:$BXX$24,763) = 0,RAND(),RAND()-1)</f>
        <v>0.63116703286943177</v>
      </c>
      <c r="B763" s="2" t="e">
        <f t="shared" ca="1" si="19"/>
        <v>#N/A</v>
      </c>
      <c r="C763" s="1">
        <v>763</v>
      </c>
      <c r="D763" s="1" t="s">
        <v>1534</v>
      </c>
      <c r="E763" s="1" t="s">
        <v>1535</v>
      </c>
    </row>
    <row r="764" spans="1:5" ht="25">
      <c r="A764" s="2">
        <f ca="1">IF(COUNTIF($AA$1:$BXX$24,764) = 0,RAND(),RAND()-1)</f>
        <v>8.9809808888687837E-2</v>
      </c>
      <c r="B764" s="2" t="e">
        <f t="shared" ca="1" si="19"/>
        <v>#N/A</v>
      </c>
      <c r="C764" s="1">
        <v>764</v>
      </c>
      <c r="D764" s="1" t="s">
        <v>1536</v>
      </c>
      <c r="E764" s="1" t="s">
        <v>1537</v>
      </c>
    </row>
    <row r="765" spans="1:5" ht="25">
      <c r="A765" s="2">
        <f ca="1">IF(COUNTIF($AA$1:$BXX$24,765) = 0,RAND(),RAND()-1)</f>
        <v>0.38219183545082613</v>
      </c>
      <c r="B765" s="2" t="e">
        <f t="shared" ca="1" si="19"/>
        <v>#N/A</v>
      </c>
      <c r="C765" s="1">
        <v>765</v>
      </c>
      <c r="D765" s="1" t="s">
        <v>1538</v>
      </c>
      <c r="E765" s="1" t="s">
        <v>1539</v>
      </c>
    </row>
    <row r="766" spans="1:5" ht="25">
      <c r="A766" s="2">
        <f ca="1">IF(COUNTIF($AA$1:$BXX$24,766) = 0,RAND(),RAND()-1)</f>
        <v>0.92517717399018939</v>
      </c>
      <c r="B766" s="2" t="e">
        <f t="shared" ca="1" si="19"/>
        <v>#N/A</v>
      </c>
      <c r="C766" s="1">
        <v>766</v>
      </c>
      <c r="D766" s="1" t="s">
        <v>1540</v>
      </c>
      <c r="E766" s="1" t="s">
        <v>1541</v>
      </c>
    </row>
    <row r="767" spans="1:5" ht="25">
      <c r="A767" s="2">
        <f ca="1">IF(COUNTIF($AA$1:$BXX$24,767) = 0,RAND(),RAND()-1)</f>
        <v>0.12274816415917855</v>
      </c>
      <c r="B767" s="2" t="e">
        <f t="shared" ca="1" si="19"/>
        <v>#N/A</v>
      </c>
      <c r="C767" s="1">
        <v>767</v>
      </c>
      <c r="D767" s="1" t="s">
        <v>1542</v>
      </c>
      <c r="E767" s="1" t="s">
        <v>1543</v>
      </c>
    </row>
    <row r="768" spans="1:5" ht="25">
      <c r="A768" s="2">
        <f ca="1">IF(COUNTIF($AA$1:$BXX$24,768) = 0,RAND(),RAND()-1)</f>
        <v>2.9051122454964218E-2</v>
      </c>
      <c r="B768" s="2" t="e">
        <f t="shared" ca="1" si="19"/>
        <v>#N/A</v>
      </c>
      <c r="C768" s="1">
        <v>768</v>
      </c>
      <c r="D768" s="1" t="s">
        <v>1544</v>
      </c>
      <c r="E768" s="1" t="s">
        <v>1545</v>
      </c>
    </row>
    <row r="769" spans="1:5" ht="25">
      <c r="A769" s="2">
        <f ca="1">IF(COUNTIF($AA$1:$BXX$24,769) = 0,RAND(),RAND()-1)</f>
        <v>0.39489588583681123</v>
      </c>
      <c r="B769" s="2" t="e">
        <f t="shared" ref="B769:B832" ca="1" si="20">RANK(A769,OFFSET($A$1,$G$1-1,0,$G$2-$G$1+1))</f>
        <v>#N/A</v>
      </c>
      <c r="C769" s="1">
        <v>769</v>
      </c>
      <c r="D769" s="1" t="s">
        <v>1546</v>
      </c>
      <c r="E769" s="1" t="s">
        <v>1547</v>
      </c>
    </row>
    <row r="770" spans="1:5" ht="25">
      <c r="A770" s="2">
        <f ca="1">IF(COUNTIF($AA$1:$BXX$24,770) = 0,RAND(),RAND()-1)</f>
        <v>0.82125376060939692</v>
      </c>
      <c r="B770" s="2" t="e">
        <f t="shared" ca="1" si="20"/>
        <v>#N/A</v>
      </c>
      <c r="C770" s="1">
        <v>770</v>
      </c>
      <c r="D770" s="1" t="s">
        <v>1548</v>
      </c>
      <c r="E770" s="1" t="s">
        <v>1549</v>
      </c>
    </row>
    <row r="771" spans="1:5" ht="25">
      <c r="A771" s="2">
        <f ca="1">IF(COUNTIF($AA$1:$BXX$24,771) = 0,RAND(),RAND()-1)</f>
        <v>0.58972143979424851</v>
      </c>
      <c r="B771" s="2" t="e">
        <f t="shared" ca="1" si="20"/>
        <v>#N/A</v>
      </c>
      <c r="C771" s="1">
        <v>771</v>
      </c>
      <c r="D771" s="1" t="s">
        <v>1550</v>
      </c>
      <c r="E771" s="1" t="s">
        <v>1551</v>
      </c>
    </row>
    <row r="772" spans="1:5" ht="25">
      <c r="A772" s="2">
        <f ca="1">IF(COUNTIF($AA$1:$BXX$24,772) = 0,RAND(),RAND()-1)</f>
        <v>0.27459325761034092</v>
      </c>
      <c r="B772" s="2" t="e">
        <f t="shared" ca="1" si="20"/>
        <v>#N/A</v>
      </c>
      <c r="C772" s="1">
        <v>772</v>
      </c>
      <c r="D772" s="1" t="s">
        <v>1552</v>
      </c>
      <c r="E772" s="1" t="s">
        <v>1553</v>
      </c>
    </row>
    <row r="773" spans="1:5" ht="25">
      <c r="A773" s="2">
        <f ca="1">IF(COUNTIF($AA$1:$BXX$24,773) = 0,RAND(),RAND()-1)</f>
        <v>0.10171413045597966</v>
      </c>
      <c r="B773" s="2" t="e">
        <f t="shared" ca="1" si="20"/>
        <v>#N/A</v>
      </c>
      <c r="C773" s="1">
        <v>773</v>
      </c>
      <c r="D773" s="1" t="s">
        <v>1554</v>
      </c>
      <c r="E773" s="1" t="s">
        <v>1555</v>
      </c>
    </row>
    <row r="774" spans="1:5" ht="25">
      <c r="A774" s="2">
        <f ca="1">IF(COUNTIF($AA$1:$BXX$24,774) = 0,RAND(),RAND()-1)</f>
        <v>0.25792458092634052</v>
      </c>
      <c r="B774" s="2" t="e">
        <f t="shared" ca="1" si="20"/>
        <v>#N/A</v>
      </c>
      <c r="C774" s="1">
        <v>774</v>
      </c>
      <c r="D774" s="1" t="s">
        <v>1556</v>
      </c>
      <c r="E774" s="1" t="s">
        <v>1557</v>
      </c>
    </row>
    <row r="775" spans="1:5" ht="25">
      <c r="A775" s="2">
        <f ca="1">IF(COUNTIF($AA$1:$BXX$24,775) = 0,RAND(),RAND()-1)</f>
        <v>0.65479810881916611</v>
      </c>
      <c r="B775" s="2" t="e">
        <f t="shared" ca="1" si="20"/>
        <v>#N/A</v>
      </c>
      <c r="C775" s="1">
        <v>775</v>
      </c>
      <c r="D775" s="1" t="s">
        <v>1558</v>
      </c>
      <c r="E775" s="1" t="s">
        <v>1559</v>
      </c>
    </row>
    <row r="776" spans="1:5" ht="25">
      <c r="A776" s="2">
        <f ca="1">IF(COUNTIF($AA$1:$BXX$24,776) = 0,RAND(),RAND()-1)</f>
        <v>0.96831880553529381</v>
      </c>
      <c r="B776" s="2" t="e">
        <f t="shared" ca="1" si="20"/>
        <v>#N/A</v>
      </c>
      <c r="C776" s="1">
        <v>776</v>
      </c>
      <c r="D776" s="1" t="s">
        <v>1560</v>
      </c>
      <c r="E776" s="1" t="s">
        <v>1561</v>
      </c>
    </row>
    <row r="777" spans="1:5" ht="25">
      <c r="A777" s="2">
        <f ca="1">IF(COUNTIF($AA$1:$BXX$24,777) = 0,RAND(),RAND()-1)</f>
        <v>0.8619336697375003</v>
      </c>
      <c r="B777" s="2" t="e">
        <f t="shared" ca="1" si="20"/>
        <v>#N/A</v>
      </c>
      <c r="C777" s="1">
        <v>777</v>
      </c>
      <c r="D777" s="1" t="s">
        <v>1562</v>
      </c>
      <c r="E777" s="1" t="s">
        <v>1563</v>
      </c>
    </row>
    <row r="778" spans="1:5" ht="25">
      <c r="A778" s="2">
        <f ca="1">IF(COUNTIF($AA$1:$BXX$24,778) = 0,RAND(),RAND()-1)</f>
        <v>0.93551570117455174</v>
      </c>
      <c r="B778" s="2" t="e">
        <f t="shared" ca="1" si="20"/>
        <v>#N/A</v>
      </c>
      <c r="C778" s="1">
        <v>778</v>
      </c>
      <c r="D778" s="1" t="s">
        <v>1564</v>
      </c>
      <c r="E778" s="1" t="s">
        <v>1565</v>
      </c>
    </row>
    <row r="779" spans="1:5" ht="25">
      <c r="A779" s="2">
        <f ca="1">IF(COUNTIF($AA$1:$BXX$24,779) = 0,RAND(),RAND()-1)</f>
        <v>6.4646888379200851E-2</v>
      </c>
      <c r="B779" s="2" t="e">
        <f t="shared" ca="1" si="20"/>
        <v>#N/A</v>
      </c>
      <c r="C779" s="1">
        <v>779</v>
      </c>
      <c r="D779" s="1" t="s">
        <v>1566</v>
      </c>
      <c r="E779" s="1" t="s">
        <v>1567</v>
      </c>
    </row>
    <row r="780" spans="1:5" ht="25">
      <c r="A780" s="2">
        <f ca="1">IF(COUNTIF($AA$1:$BXX$24,780) = 0,RAND(),RAND()-1)</f>
        <v>3.8926019347065854E-2</v>
      </c>
      <c r="B780" s="2" t="e">
        <f t="shared" ca="1" si="20"/>
        <v>#N/A</v>
      </c>
      <c r="C780" s="1">
        <v>780</v>
      </c>
      <c r="D780" s="1" t="s">
        <v>1568</v>
      </c>
      <c r="E780" s="1" t="s">
        <v>1569</v>
      </c>
    </row>
    <row r="781" spans="1:5" ht="25">
      <c r="A781" s="2">
        <f ca="1">IF(COUNTIF($AA$1:$BXX$24,781) = 0,RAND(),RAND()-1)</f>
        <v>0.58690814724341678</v>
      </c>
      <c r="B781" s="2" t="e">
        <f t="shared" ca="1" si="20"/>
        <v>#N/A</v>
      </c>
      <c r="C781" s="1">
        <v>781</v>
      </c>
      <c r="D781" s="1" t="s">
        <v>1570</v>
      </c>
      <c r="E781" s="1" t="s">
        <v>1571</v>
      </c>
    </row>
    <row r="782" spans="1:5" ht="25">
      <c r="A782" s="2">
        <f ca="1">IF(COUNTIF($AA$1:$BXX$24,782) = 0,RAND(),RAND()-1)</f>
        <v>7.7972562167596959E-2</v>
      </c>
      <c r="B782" s="2" t="e">
        <f t="shared" ca="1" si="20"/>
        <v>#N/A</v>
      </c>
      <c r="C782" s="1">
        <v>782</v>
      </c>
      <c r="D782" s="1" t="s">
        <v>1572</v>
      </c>
      <c r="E782" s="1" t="s">
        <v>1573</v>
      </c>
    </row>
    <row r="783" spans="1:5" ht="25">
      <c r="A783" s="2">
        <f ca="1">IF(COUNTIF($AA$1:$BXX$24,783) = 0,RAND(),RAND()-1)</f>
        <v>0.31627968985476029</v>
      </c>
      <c r="B783" s="2" t="e">
        <f t="shared" ca="1" si="20"/>
        <v>#N/A</v>
      </c>
      <c r="C783" s="1">
        <v>783</v>
      </c>
      <c r="D783" s="1" t="s">
        <v>1574</v>
      </c>
      <c r="E783" s="1" t="s">
        <v>1575</v>
      </c>
    </row>
    <row r="784" spans="1:5" ht="25">
      <c r="A784" s="2">
        <f ca="1">IF(COUNTIF($AA$1:$BXX$24,784) = 0,RAND(),RAND()-1)</f>
        <v>0.8647963239236458</v>
      </c>
      <c r="B784" s="2" t="e">
        <f t="shared" ca="1" si="20"/>
        <v>#N/A</v>
      </c>
      <c r="C784" s="1">
        <v>784</v>
      </c>
      <c r="D784" s="1" t="s">
        <v>1576</v>
      </c>
      <c r="E784" s="1" t="s">
        <v>1577</v>
      </c>
    </row>
    <row r="785" spans="1:5" ht="25">
      <c r="A785" s="2">
        <f ca="1">IF(COUNTIF($AA$1:$BXX$24,785) = 0,RAND(),RAND()-1)</f>
        <v>0.58272242100696248</v>
      </c>
      <c r="B785" s="2" t="e">
        <f t="shared" ca="1" si="20"/>
        <v>#N/A</v>
      </c>
      <c r="C785" s="1">
        <v>785</v>
      </c>
      <c r="D785" s="1" t="s">
        <v>1578</v>
      </c>
      <c r="E785" s="1" t="s">
        <v>1579</v>
      </c>
    </row>
    <row r="786" spans="1:5" ht="25">
      <c r="A786" s="2">
        <f ca="1">IF(COUNTIF($AA$1:$BXX$24,786) = 0,RAND(),RAND()-1)</f>
        <v>0.28867599578948111</v>
      </c>
      <c r="B786" s="2" t="e">
        <f t="shared" ca="1" si="20"/>
        <v>#N/A</v>
      </c>
      <c r="C786" s="1">
        <v>786</v>
      </c>
      <c r="D786" s="1" t="s">
        <v>1580</v>
      </c>
      <c r="E786" s="1" t="s">
        <v>1581</v>
      </c>
    </row>
    <row r="787" spans="1:5" ht="25">
      <c r="A787" s="2">
        <f ca="1">IF(COUNTIF($AA$1:$BXX$24,787) = 0,RAND(),RAND()-1)</f>
        <v>0.21892599649199529</v>
      </c>
      <c r="B787" s="2" t="e">
        <f t="shared" ca="1" si="20"/>
        <v>#N/A</v>
      </c>
      <c r="C787" s="1">
        <v>787</v>
      </c>
      <c r="D787" s="1" t="s">
        <v>1582</v>
      </c>
      <c r="E787" s="1" t="s">
        <v>1583</v>
      </c>
    </row>
    <row r="788" spans="1:5" ht="25">
      <c r="A788" s="2">
        <f ca="1">IF(COUNTIF($AA$1:$BXX$24,788) = 0,RAND(),RAND()-1)</f>
        <v>0.80246588447462142</v>
      </c>
      <c r="B788" s="2" t="e">
        <f t="shared" ca="1" si="20"/>
        <v>#N/A</v>
      </c>
      <c r="C788" s="1">
        <v>788</v>
      </c>
      <c r="D788" s="1" t="s">
        <v>1584</v>
      </c>
      <c r="E788" s="1" t="s">
        <v>1585</v>
      </c>
    </row>
    <row r="789" spans="1:5" ht="25">
      <c r="A789" s="2">
        <f ca="1">IF(COUNTIF($AA$1:$BXX$24,789) = 0,RAND(),RAND()-1)</f>
        <v>0.43388705791801485</v>
      </c>
      <c r="B789" s="2" t="e">
        <f t="shared" ca="1" si="20"/>
        <v>#N/A</v>
      </c>
      <c r="C789" s="1">
        <v>789</v>
      </c>
      <c r="D789" s="1" t="s">
        <v>1586</v>
      </c>
      <c r="E789" s="1" t="s">
        <v>1587</v>
      </c>
    </row>
    <row r="790" spans="1:5" ht="25">
      <c r="A790" s="2">
        <f ca="1">IF(COUNTIF($AA$1:$BXX$24,790) = 0,RAND(),RAND()-1)</f>
        <v>0.96510319227442221</v>
      </c>
      <c r="B790" s="2" t="e">
        <f t="shared" ca="1" si="20"/>
        <v>#N/A</v>
      </c>
      <c r="C790" s="1">
        <v>790</v>
      </c>
      <c r="D790" s="1" t="s">
        <v>1588</v>
      </c>
      <c r="E790" s="1" t="s">
        <v>1589</v>
      </c>
    </row>
    <row r="791" spans="1:5" ht="25">
      <c r="A791" s="2">
        <f ca="1">IF(COUNTIF($AA$1:$BXX$24,791) = 0,RAND(),RAND()-1)</f>
        <v>0.51470362952379045</v>
      </c>
      <c r="B791" s="2" t="e">
        <f t="shared" ca="1" si="20"/>
        <v>#N/A</v>
      </c>
      <c r="C791" s="1">
        <v>791</v>
      </c>
      <c r="D791" s="1" t="s">
        <v>1590</v>
      </c>
      <c r="E791" s="1" t="s">
        <v>1591</v>
      </c>
    </row>
    <row r="792" spans="1:5" ht="25">
      <c r="A792" s="2">
        <f ca="1">IF(COUNTIF($AA$1:$BXX$24,792) = 0,RAND(),RAND()-1)</f>
        <v>0.46814764999917824</v>
      </c>
      <c r="B792" s="2" t="e">
        <f t="shared" ca="1" si="20"/>
        <v>#N/A</v>
      </c>
      <c r="C792" s="1">
        <v>792</v>
      </c>
      <c r="D792" s="1" t="s">
        <v>1592</v>
      </c>
      <c r="E792" s="1" t="s">
        <v>1593</v>
      </c>
    </row>
    <row r="793" spans="1:5" ht="25">
      <c r="A793" s="2">
        <f ca="1">IF(COUNTIF($AA$1:$BXX$24,793) = 0,RAND(),RAND()-1)</f>
        <v>0.67122723711249355</v>
      </c>
      <c r="B793" s="2" t="e">
        <f t="shared" ca="1" si="20"/>
        <v>#N/A</v>
      </c>
      <c r="C793" s="1">
        <v>793</v>
      </c>
      <c r="D793" s="1" t="s">
        <v>1594</v>
      </c>
      <c r="E793" s="1" t="s">
        <v>1595</v>
      </c>
    </row>
    <row r="794" spans="1:5" ht="25">
      <c r="A794" s="2">
        <f ca="1">IF(COUNTIF($AA$1:$BXX$24,794) = 0,RAND(),RAND()-1)</f>
        <v>0.27421053307339371</v>
      </c>
      <c r="B794" s="2" t="e">
        <f t="shared" ca="1" si="20"/>
        <v>#N/A</v>
      </c>
      <c r="C794" s="1">
        <v>794</v>
      </c>
      <c r="D794" s="1" t="s">
        <v>1596</v>
      </c>
      <c r="E794" s="1" t="s">
        <v>1597</v>
      </c>
    </row>
    <row r="795" spans="1:5" ht="25">
      <c r="A795" s="2">
        <f ca="1">IF(COUNTIF($AA$1:$BXX$24,795) = 0,RAND(),RAND()-1)</f>
        <v>0.99361435801336517</v>
      </c>
      <c r="B795" s="2" t="e">
        <f t="shared" ca="1" si="20"/>
        <v>#N/A</v>
      </c>
      <c r="C795" s="1">
        <v>795</v>
      </c>
      <c r="D795" s="1" t="s">
        <v>1598</v>
      </c>
      <c r="E795" s="1" t="s">
        <v>1599</v>
      </c>
    </row>
    <row r="796" spans="1:5" ht="25">
      <c r="A796" s="2">
        <f ca="1">IF(COUNTIF($AA$1:$BXX$24,796) = 0,RAND(),RAND()-1)</f>
        <v>2.9794357278424166E-2</v>
      </c>
      <c r="B796" s="2" t="e">
        <f t="shared" ca="1" si="20"/>
        <v>#N/A</v>
      </c>
      <c r="C796" s="1">
        <v>796</v>
      </c>
      <c r="D796" s="1" t="s">
        <v>1600</v>
      </c>
      <c r="E796" s="1" t="s">
        <v>1601</v>
      </c>
    </row>
    <row r="797" spans="1:5" ht="25">
      <c r="A797" s="2">
        <f ca="1">IF(COUNTIF($AA$1:$BXX$24,797) = 0,RAND(),RAND()-1)</f>
        <v>0.44960271836943311</v>
      </c>
      <c r="B797" s="2" t="e">
        <f t="shared" ca="1" si="20"/>
        <v>#N/A</v>
      </c>
      <c r="C797" s="1">
        <v>797</v>
      </c>
      <c r="D797" s="1" t="s">
        <v>1602</v>
      </c>
      <c r="E797" s="1" t="s">
        <v>1603</v>
      </c>
    </row>
    <row r="798" spans="1:5" ht="25">
      <c r="A798" s="2">
        <f ca="1">IF(COUNTIF($AA$1:$BXX$24,798) = 0,RAND(),RAND()-1)</f>
        <v>0.80378690190706992</v>
      </c>
      <c r="B798" s="2" t="e">
        <f t="shared" ca="1" si="20"/>
        <v>#N/A</v>
      </c>
      <c r="C798" s="1">
        <v>798</v>
      </c>
      <c r="D798" s="1" t="s">
        <v>1604</v>
      </c>
      <c r="E798" s="1" t="s">
        <v>1605</v>
      </c>
    </row>
    <row r="799" spans="1:5" ht="25">
      <c r="A799" s="2">
        <f ca="1">IF(COUNTIF($AA$1:$BXX$24,799) = 0,RAND(),RAND()-1)</f>
        <v>0.8999225357152878</v>
      </c>
      <c r="B799" s="2" t="e">
        <f t="shared" ca="1" si="20"/>
        <v>#N/A</v>
      </c>
      <c r="C799" s="1">
        <v>799</v>
      </c>
      <c r="D799" s="1" t="s">
        <v>1606</v>
      </c>
      <c r="E799" s="1" t="s">
        <v>1607</v>
      </c>
    </row>
    <row r="800" spans="1:5" ht="25">
      <c r="A800" s="2">
        <f ca="1">IF(COUNTIF($AA$1:$BXX$24,800) = 0,RAND(),RAND()-1)</f>
        <v>7.4160663744417765E-2</v>
      </c>
      <c r="B800" s="2" t="e">
        <f t="shared" ca="1" si="20"/>
        <v>#N/A</v>
      </c>
      <c r="C800" s="1">
        <v>800</v>
      </c>
      <c r="D800" s="1" t="s">
        <v>1608</v>
      </c>
      <c r="E800" s="1" t="s">
        <v>1609</v>
      </c>
    </row>
    <row r="801" spans="1:5" ht="25">
      <c r="A801" s="2">
        <f ca="1">IF(COUNTIF($AA$1:$BXX$24,801) = 0,RAND(),RAND()-1)</f>
        <v>0.97557961751391109</v>
      </c>
      <c r="B801" s="2" t="e">
        <f t="shared" ca="1" si="20"/>
        <v>#N/A</v>
      </c>
      <c r="C801" s="1">
        <v>801</v>
      </c>
      <c r="D801" s="1" t="s">
        <v>1610</v>
      </c>
      <c r="E801" s="1" t="s">
        <v>1611</v>
      </c>
    </row>
    <row r="802" spans="1:5" ht="25">
      <c r="A802" s="2">
        <f ca="1">IF(COUNTIF($AA$1:$BXX$24,802) = 0,RAND(),RAND()-1)</f>
        <v>0.21991735554349545</v>
      </c>
      <c r="B802" s="2" t="e">
        <f t="shared" ca="1" si="20"/>
        <v>#N/A</v>
      </c>
      <c r="C802" s="1">
        <v>802</v>
      </c>
      <c r="D802" s="1" t="s">
        <v>1612</v>
      </c>
      <c r="E802" s="1" t="s">
        <v>1613</v>
      </c>
    </row>
    <row r="803" spans="1:5" ht="25">
      <c r="A803" s="2">
        <f ca="1">IF(COUNTIF($AA$1:$BXX$24,803) = 0,RAND(),RAND()-1)</f>
        <v>0.8344435708596557</v>
      </c>
      <c r="B803" s="2" t="e">
        <f t="shared" ca="1" si="20"/>
        <v>#N/A</v>
      </c>
      <c r="C803" s="1">
        <v>803</v>
      </c>
      <c r="D803" s="1" t="s">
        <v>1614</v>
      </c>
      <c r="E803" s="1" t="s">
        <v>1615</v>
      </c>
    </row>
    <row r="804" spans="1:5" ht="25">
      <c r="A804" s="2">
        <f ca="1">IF(COUNTIF($AA$1:$BXX$24,804) = 0,RAND(),RAND()-1)</f>
        <v>0.37433092086704767</v>
      </c>
      <c r="B804" s="2" t="e">
        <f t="shared" ca="1" si="20"/>
        <v>#N/A</v>
      </c>
      <c r="C804" s="1">
        <v>804</v>
      </c>
      <c r="D804" s="1" t="s">
        <v>1616</v>
      </c>
      <c r="E804" s="1" t="s">
        <v>1617</v>
      </c>
    </row>
    <row r="805" spans="1:5" ht="25">
      <c r="A805" s="2">
        <f ca="1">IF(COUNTIF($AA$1:$BXX$24,805) = 0,RAND(),RAND()-1)</f>
        <v>2.2142688252993814E-2</v>
      </c>
      <c r="B805" s="2" t="e">
        <f t="shared" ca="1" si="20"/>
        <v>#N/A</v>
      </c>
      <c r="C805" s="1">
        <v>805</v>
      </c>
      <c r="D805" s="1" t="s">
        <v>1618</v>
      </c>
      <c r="E805" s="1" t="s">
        <v>1619</v>
      </c>
    </row>
    <row r="806" spans="1:5" ht="25">
      <c r="A806" s="2">
        <f ca="1">IF(COUNTIF($AA$1:$BXX$24,806) = 0,RAND(),RAND()-1)</f>
        <v>0.56296529667537154</v>
      </c>
      <c r="B806" s="2" t="e">
        <f t="shared" ca="1" si="20"/>
        <v>#N/A</v>
      </c>
      <c r="C806" s="1">
        <v>806</v>
      </c>
      <c r="D806" s="1" t="s">
        <v>1620</v>
      </c>
      <c r="E806" s="1" t="s">
        <v>1621</v>
      </c>
    </row>
    <row r="807" spans="1:5" ht="25">
      <c r="A807" s="2">
        <f ca="1">IF(COUNTIF($AA$1:$BXX$24,807) = 0,RAND(),RAND()-1)</f>
        <v>0.62852899305675403</v>
      </c>
      <c r="B807" s="2" t="e">
        <f t="shared" ca="1" si="20"/>
        <v>#N/A</v>
      </c>
      <c r="C807" s="1">
        <v>807</v>
      </c>
      <c r="D807" s="1" t="s">
        <v>1622</v>
      </c>
      <c r="E807" s="1" t="s">
        <v>1099</v>
      </c>
    </row>
    <row r="808" spans="1:5" ht="25">
      <c r="A808" s="2">
        <f ca="1">IF(COUNTIF($AA$1:$BXX$24,808) = 0,RAND(),RAND()-1)</f>
        <v>0.9274241083117174</v>
      </c>
      <c r="B808" s="2" t="e">
        <f t="shared" ca="1" si="20"/>
        <v>#N/A</v>
      </c>
      <c r="C808" s="1">
        <v>808</v>
      </c>
      <c r="D808" s="1" t="s">
        <v>1623</v>
      </c>
      <c r="E808" s="1" t="s">
        <v>1624</v>
      </c>
    </row>
    <row r="809" spans="1:5" ht="25">
      <c r="A809" s="2">
        <f ca="1">IF(COUNTIF($AA$1:$BXX$24,809) = 0,RAND(),RAND()-1)</f>
        <v>0.36198911323771843</v>
      </c>
      <c r="B809" s="2" t="e">
        <f t="shared" ca="1" si="20"/>
        <v>#N/A</v>
      </c>
      <c r="C809" s="1">
        <v>809</v>
      </c>
      <c r="D809" s="1" t="s">
        <v>1625</v>
      </c>
      <c r="E809" s="1" t="s">
        <v>1626</v>
      </c>
    </row>
    <row r="810" spans="1:5" ht="25">
      <c r="A810" s="2">
        <f ca="1">IF(COUNTIF($AA$1:$BXX$24,810) = 0,RAND(),RAND()-1)</f>
        <v>0.14438647933789084</v>
      </c>
      <c r="B810" s="2" t="e">
        <f t="shared" ca="1" si="20"/>
        <v>#N/A</v>
      </c>
      <c r="C810" s="1">
        <v>810</v>
      </c>
      <c r="D810" s="1" t="s">
        <v>1627</v>
      </c>
      <c r="E810" s="1" t="s">
        <v>1628</v>
      </c>
    </row>
    <row r="811" spans="1:5" ht="25">
      <c r="A811" s="2">
        <f ca="1">IF(COUNTIF($AA$1:$BXX$24,811) = 0,RAND(),RAND()-1)</f>
        <v>0.59579097361375144</v>
      </c>
      <c r="B811" s="2" t="e">
        <f t="shared" ca="1" si="20"/>
        <v>#N/A</v>
      </c>
      <c r="C811" s="1">
        <v>811</v>
      </c>
      <c r="D811" s="1" t="s">
        <v>1629</v>
      </c>
      <c r="E811" s="1" t="s">
        <v>1630</v>
      </c>
    </row>
    <row r="812" spans="1:5" ht="25">
      <c r="A812" s="2">
        <f ca="1">IF(COUNTIF($AA$1:$BXX$24,812) = 0,RAND(),RAND()-1)</f>
        <v>0.56706589678097474</v>
      </c>
      <c r="B812" s="2" t="e">
        <f t="shared" ca="1" si="20"/>
        <v>#N/A</v>
      </c>
      <c r="C812" s="1">
        <v>812</v>
      </c>
      <c r="D812" s="1" t="s">
        <v>1631</v>
      </c>
      <c r="E812" s="1" t="s">
        <v>1632</v>
      </c>
    </row>
    <row r="813" spans="1:5" ht="25">
      <c r="A813" s="2">
        <f ca="1">IF(COUNTIF($AA$1:$BXX$24,813) = 0,RAND(),RAND()-1)</f>
        <v>0.66449505241221818</v>
      </c>
      <c r="B813" s="2" t="e">
        <f t="shared" ca="1" si="20"/>
        <v>#N/A</v>
      </c>
      <c r="C813" s="1">
        <v>813</v>
      </c>
      <c r="D813" s="1" t="s">
        <v>1633</v>
      </c>
      <c r="E813" s="1" t="s">
        <v>1634</v>
      </c>
    </row>
    <row r="814" spans="1:5" ht="25">
      <c r="A814" s="2">
        <f ca="1">IF(COUNTIF($AA$1:$BXX$24,814) = 0,RAND(),RAND()-1)</f>
        <v>0.21424822722385861</v>
      </c>
      <c r="B814" s="2" t="e">
        <f t="shared" ca="1" si="20"/>
        <v>#N/A</v>
      </c>
      <c r="C814" s="1">
        <v>814</v>
      </c>
      <c r="D814" s="1" t="s">
        <v>1635</v>
      </c>
      <c r="E814" s="1" t="s">
        <v>1636</v>
      </c>
    </row>
    <row r="815" spans="1:5" ht="25">
      <c r="A815" s="2">
        <f ca="1">IF(COUNTIF($AA$1:$BXX$24,815) = 0,RAND(),RAND()-1)</f>
        <v>0.3166148519913593</v>
      </c>
      <c r="B815" s="2" t="e">
        <f t="shared" ca="1" si="20"/>
        <v>#N/A</v>
      </c>
      <c r="C815" s="1">
        <v>815</v>
      </c>
      <c r="D815" s="1" t="s">
        <v>1637</v>
      </c>
      <c r="E815" s="1" t="s">
        <v>1638</v>
      </c>
    </row>
    <row r="816" spans="1:5" ht="25">
      <c r="A816" s="2">
        <f ca="1">IF(COUNTIF($AA$1:$BXX$24,816) = 0,RAND(),RAND()-1)</f>
        <v>0.16025247034354562</v>
      </c>
      <c r="B816" s="2" t="e">
        <f t="shared" ca="1" si="20"/>
        <v>#N/A</v>
      </c>
      <c r="C816" s="1">
        <v>816</v>
      </c>
      <c r="D816" s="1" t="s">
        <v>1639</v>
      </c>
      <c r="E816" s="1" t="s">
        <v>1640</v>
      </c>
    </row>
    <row r="817" spans="1:5" ht="25">
      <c r="A817" s="2">
        <f ca="1">IF(COUNTIF($AA$1:$BXX$24,817) = 0,RAND(),RAND()-1)</f>
        <v>8.9996103331151711E-2</v>
      </c>
      <c r="B817" s="2" t="e">
        <f t="shared" ca="1" si="20"/>
        <v>#N/A</v>
      </c>
      <c r="C817" s="1">
        <v>817</v>
      </c>
      <c r="D817" s="1" t="s">
        <v>1641</v>
      </c>
      <c r="E817" s="1" t="s">
        <v>1642</v>
      </c>
    </row>
    <row r="818" spans="1:5" ht="25">
      <c r="A818" s="2">
        <f ca="1">IF(COUNTIF($AA$1:$BXX$24,818) = 0,RAND(),RAND()-1)</f>
        <v>0.32572009343706432</v>
      </c>
      <c r="B818" s="2" t="e">
        <f t="shared" ca="1" si="20"/>
        <v>#N/A</v>
      </c>
      <c r="C818" s="1">
        <v>818</v>
      </c>
      <c r="D818" s="1" t="s">
        <v>1643</v>
      </c>
      <c r="E818" s="1" t="s">
        <v>1644</v>
      </c>
    </row>
    <row r="819" spans="1:5" ht="25">
      <c r="A819" s="2">
        <f ca="1">IF(COUNTIF($AA$1:$BXX$24,819) = 0,RAND(),RAND()-1)</f>
        <v>0.36541388465499247</v>
      </c>
      <c r="B819" s="2" t="e">
        <f t="shared" ca="1" si="20"/>
        <v>#N/A</v>
      </c>
      <c r="C819" s="1">
        <v>819</v>
      </c>
      <c r="D819" s="1" t="s">
        <v>1645</v>
      </c>
      <c r="E819" s="1" t="s">
        <v>1646</v>
      </c>
    </row>
    <row r="820" spans="1:5" ht="25">
      <c r="A820" s="2">
        <f ca="1">IF(COUNTIF($AA$1:$BXX$24,820) = 0,RAND(),RAND()-1)</f>
        <v>0.58396842694551276</v>
      </c>
      <c r="B820" s="2" t="e">
        <f t="shared" ca="1" si="20"/>
        <v>#N/A</v>
      </c>
      <c r="C820" s="1">
        <v>820</v>
      </c>
      <c r="D820" s="1" t="s">
        <v>1647</v>
      </c>
      <c r="E820" s="1" t="s">
        <v>1648</v>
      </c>
    </row>
    <row r="821" spans="1:5" ht="25">
      <c r="A821" s="2">
        <f ca="1">IF(COUNTIF($AA$1:$BXX$24,821) = 0,RAND(),RAND()-1)</f>
        <v>0.35633727911996549</v>
      </c>
      <c r="B821" s="2" t="e">
        <f t="shared" ca="1" si="20"/>
        <v>#N/A</v>
      </c>
      <c r="C821" s="1">
        <v>821</v>
      </c>
      <c r="D821" s="1" t="s">
        <v>1649</v>
      </c>
      <c r="E821" s="1" t="s">
        <v>1650</v>
      </c>
    </row>
    <row r="822" spans="1:5" ht="25">
      <c r="A822" s="2">
        <f ca="1">IF(COUNTIF($AA$1:$BXX$24,822) = 0,RAND(),RAND()-1)</f>
        <v>0.66992929493276521</v>
      </c>
      <c r="B822" s="2" t="e">
        <f t="shared" ca="1" si="20"/>
        <v>#N/A</v>
      </c>
      <c r="C822" s="1">
        <v>822</v>
      </c>
      <c r="D822" s="1" t="s">
        <v>1651</v>
      </c>
      <c r="E822" s="1" t="s">
        <v>1652</v>
      </c>
    </row>
    <row r="823" spans="1:5" ht="25">
      <c r="A823" s="2">
        <f ca="1">IF(COUNTIF($AA$1:$BXX$24,823) = 0,RAND(),RAND()-1)</f>
        <v>0.10403660107846369</v>
      </c>
      <c r="B823" s="2" t="e">
        <f t="shared" ca="1" si="20"/>
        <v>#N/A</v>
      </c>
      <c r="C823" s="1">
        <v>823</v>
      </c>
      <c r="D823" s="1" t="s">
        <v>1653</v>
      </c>
      <c r="E823" s="1" t="s">
        <v>1654</v>
      </c>
    </row>
    <row r="824" spans="1:5" ht="25">
      <c r="A824" s="2">
        <f ca="1">IF(COUNTIF($AA$1:$BXX$24,824) = 0,RAND(),RAND()-1)</f>
        <v>0.76504647680172244</v>
      </c>
      <c r="B824" s="2" t="e">
        <f t="shared" ca="1" si="20"/>
        <v>#N/A</v>
      </c>
      <c r="C824" s="1">
        <v>824</v>
      </c>
      <c r="D824" s="1" t="s">
        <v>1655</v>
      </c>
      <c r="E824" s="1" t="s">
        <v>1656</v>
      </c>
    </row>
    <row r="825" spans="1:5" ht="25">
      <c r="A825" s="2">
        <f ca="1">IF(COUNTIF($AA$1:$BXX$24,825) = 0,RAND(),RAND()-1)</f>
        <v>0.47424368795700533</v>
      </c>
      <c r="B825" s="2" t="e">
        <f t="shared" ca="1" si="20"/>
        <v>#N/A</v>
      </c>
      <c r="C825" s="1">
        <v>825</v>
      </c>
      <c r="D825" s="1" t="s">
        <v>1657</v>
      </c>
      <c r="E825" s="1" t="s">
        <v>1658</v>
      </c>
    </row>
    <row r="826" spans="1:5" ht="25">
      <c r="A826" s="2">
        <f ca="1">IF(COUNTIF($AA$1:$BXX$24,826) = 0,RAND(),RAND()-1)</f>
        <v>0.90729987324581796</v>
      </c>
      <c r="B826" s="2" t="e">
        <f t="shared" ca="1" si="20"/>
        <v>#N/A</v>
      </c>
      <c r="C826" s="1">
        <v>826</v>
      </c>
      <c r="D826" s="1" t="s">
        <v>1659</v>
      </c>
      <c r="E826" s="1" t="s">
        <v>1660</v>
      </c>
    </row>
    <row r="827" spans="1:5" ht="25">
      <c r="A827" s="2">
        <f ca="1">IF(COUNTIF($AA$1:$BXX$24,827) = 0,RAND(),RAND()-1)</f>
        <v>0.67113855286536073</v>
      </c>
      <c r="B827" s="2" t="e">
        <f t="shared" ca="1" si="20"/>
        <v>#N/A</v>
      </c>
      <c r="C827" s="1">
        <v>827</v>
      </c>
      <c r="D827" s="1" t="s">
        <v>1661</v>
      </c>
      <c r="E827" s="1" t="s">
        <v>1662</v>
      </c>
    </row>
    <row r="828" spans="1:5" ht="25">
      <c r="A828" s="2">
        <f ca="1">IF(COUNTIF($AA$1:$BXX$24,828) = 0,RAND(),RAND()-1)</f>
        <v>0.14511508875546786</v>
      </c>
      <c r="B828" s="2" t="e">
        <f t="shared" ca="1" si="20"/>
        <v>#N/A</v>
      </c>
      <c r="C828" s="1">
        <v>828</v>
      </c>
      <c r="D828" s="1" t="s">
        <v>1663</v>
      </c>
      <c r="E828" s="1" t="s">
        <v>1664</v>
      </c>
    </row>
    <row r="829" spans="1:5" ht="25">
      <c r="A829" s="2">
        <f ca="1">IF(COUNTIF($AA$1:$BXX$24,829) = 0,RAND(),RAND()-1)</f>
        <v>0.59288726069973186</v>
      </c>
      <c r="B829" s="2" t="e">
        <f t="shared" ca="1" si="20"/>
        <v>#N/A</v>
      </c>
      <c r="C829" s="1">
        <v>829</v>
      </c>
      <c r="D829" s="1" t="s">
        <v>1665</v>
      </c>
      <c r="E829" s="1" t="s">
        <v>1666</v>
      </c>
    </row>
    <row r="830" spans="1:5" ht="25">
      <c r="A830" s="2">
        <f ca="1">IF(COUNTIF($AA$1:$BXX$24,830) = 0,RAND(),RAND()-1)</f>
        <v>0.50917736569845018</v>
      </c>
      <c r="B830" s="2" t="e">
        <f t="shared" ca="1" si="20"/>
        <v>#N/A</v>
      </c>
      <c r="C830" s="1">
        <v>830</v>
      </c>
      <c r="D830" s="1" t="s">
        <v>1667</v>
      </c>
      <c r="E830" s="1" t="s">
        <v>562</v>
      </c>
    </row>
    <row r="831" spans="1:5" ht="25">
      <c r="A831" s="2">
        <f ca="1">IF(COUNTIF($AA$1:$BXX$24,831) = 0,RAND(),RAND()-1)</f>
        <v>0.53870981201055856</v>
      </c>
      <c r="B831" s="2" t="e">
        <f t="shared" ca="1" si="20"/>
        <v>#N/A</v>
      </c>
      <c r="C831" s="1">
        <v>831</v>
      </c>
      <c r="D831" s="1" t="s">
        <v>1668</v>
      </c>
      <c r="E831" s="1" t="s">
        <v>1669</v>
      </c>
    </row>
    <row r="832" spans="1:5" ht="25">
      <c r="A832" s="2">
        <f ca="1">IF(COUNTIF($AA$1:$BXX$24,832) = 0,RAND(),RAND()-1)</f>
        <v>0.24171824097683314</v>
      </c>
      <c r="B832" s="2" t="e">
        <f t="shared" ca="1" si="20"/>
        <v>#N/A</v>
      </c>
      <c r="C832" s="1">
        <v>832</v>
      </c>
      <c r="D832" s="1" t="s">
        <v>1670</v>
      </c>
      <c r="E832" s="1" t="s">
        <v>1671</v>
      </c>
    </row>
    <row r="833" spans="1:5" ht="25">
      <c r="A833" s="2">
        <f ca="1">IF(COUNTIF($AA$1:$BXX$24,833) = 0,RAND(),RAND()-1)</f>
        <v>0.78150656291555032</v>
      </c>
      <c r="B833" s="2" t="e">
        <f t="shared" ref="B833:B896" ca="1" si="21">RANK(A833,OFFSET($A$1,$G$1-1,0,$G$2-$G$1+1))</f>
        <v>#N/A</v>
      </c>
      <c r="C833" s="1">
        <v>833</v>
      </c>
      <c r="D833" s="1" t="s">
        <v>1672</v>
      </c>
      <c r="E833" s="1" t="s">
        <v>1673</v>
      </c>
    </row>
    <row r="834" spans="1:5" ht="25">
      <c r="A834" s="2">
        <f ca="1">IF(COUNTIF($AA$1:$BXX$24,834) = 0,RAND(),RAND()-1)</f>
        <v>0.77686335279939567</v>
      </c>
      <c r="B834" s="2" t="e">
        <f t="shared" ca="1" si="21"/>
        <v>#N/A</v>
      </c>
      <c r="C834" s="1">
        <v>834</v>
      </c>
      <c r="D834" s="1" t="s">
        <v>1674</v>
      </c>
      <c r="E834" s="1" t="s">
        <v>1675</v>
      </c>
    </row>
    <row r="835" spans="1:5" ht="25">
      <c r="A835" s="2">
        <f ca="1">IF(COUNTIF($AA$1:$BXX$24,835) = 0,RAND(),RAND()-1)</f>
        <v>0.14012983527089795</v>
      </c>
      <c r="B835" s="2" t="e">
        <f t="shared" ca="1" si="21"/>
        <v>#N/A</v>
      </c>
      <c r="C835" s="1">
        <v>835</v>
      </c>
      <c r="D835" s="1" t="s">
        <v>1676</v>
      </c>
      <c r="E835" s="1" t="s">
        <v>1677</v>
      </c>
    </row>
    <row r="836" spans="1:5" ht="25">
      <c r="A836" s="2">
        <f ca="1">IF(COUNTIF($AA$1:$BXX$24,836) = 0,RAND(),RAND()-1)</f>
        <v>0.83190145480054256</v>
      </c>
      <c r="B836" s="2" t="e">
        <f t="shared" ca="1" si="21"/>
        <v>#N/A</v>
      </c>
      <c r="C836" s="1">
        <v>836</v>
      </c>
      <c r="D836" s="1" t="s">
        <v>1678</v>
      </c>
      <c r="E836" s="1" t="s">
        <v>1679</v>
      </c>
    </row>
    <row r="837" spans="1:5" ht="25">
      <c r="A837" s="2">
        <f ca="1">IF(COUNTIF($AA$1:$BXX$24,837) = 0,RAND(),RAND()-1)</f>
        <v>0.76335252904818807</v>
      </c>
      <c r="B837" s="2" t="e">
        <f t="shared" ca="1" si="21"/>
        <v>#N/A</v>
      </c>
      <c r="C837" s="1">
        <v>837</v>
      </c>
      <c r="D837" s="1" t="s">
        <v>1680</v>
      </c>
      <c r="E837" s="1" t="s">
        <v>1681</v>
      </c>
    </row>
    <row r="838" spans="1:5" ht="25">
      <c r="A838" s="2">
        <f ca="1">IF(COUNTIF($AA$1:$BXX$24,838) = 0,RAND(),RAND()-1)</f>
        <v>0.51282077788361491</v>
      </c>
      <c r="B838" s="2" t="e">
        <f t="shared" ca="1" si="21"/>
        <v>#N/A</v>
      </c>
      <c r="C838" s="1">
        <v>838</v>
      </c>
      <c r="D838" s="1" t="s">
        <v>1682</v>
      </c>
      <c r="E838" s="1" t="s">
        <v>1683</v>
      </c>
    </row>
    <row r="839" spans="1:5" ht="25">
      <c r="A839" s="2">
        <f ca="1">IF(COUNTIF($AA$1:$BXX$24,839) = 0,RAND(),RAND()-1)</f>
        <v>0.4335554639845407</v>
      </c>
      <c r="B839" s="2" t="e">
        <f t="shared" ca="1" si="21"/>
        <v>#N/A</v>
      </c>
      <c r="C839" s="1">
        <v>839</v>
      </c>
      <c r="D839" s="1" t="s">
        <v>1684</v>
      </c>
      <c r="E839" s="1" t="s">
        <v>1685</v>
      </c>
    </row>
    <row r="840" spans="1:5" ht="25">
      <c r="A840" s="2">
        <f ca="1">IF(COUNTIF($AA$1:$BXX$24,840) = 0,RAND(),RAND()-1)</f>
        <v>0.23294650219859259</v>
      </c>
      <c r="B840" s="2" t="e">
        <f t="shared" ca="1" si="21"/>
        <v>#N/A</v>
      </c>
      <c r="C840" s="1">
        <v>840</v>
      </c>
      <c r="D840" s="1" t="s">
        <v>1686</v>
      </c>
      <c r="E840" s="1" t="s">
        <v>1687</v>
      </c>
    </row>
    <row r="841" spans="1:5" ht="25">
      <c r="A841" s="2">
        <f ca="1">IF(COUNTIF($AA$1:$BXX$24,841) = 0,RAND(),RAND()-1)</f>
        <v>0.64759308043058861</v>
      </c>
      <c r="B841" s="2" t="e">
        <f t="shared" ca="1" si="21"/>
        <v>#N/A</v>
      </c>
      <c r="C841" s="1">
        <v>841</v>
      </c>
      <c r="D841" s="1" t="b">
        <v>0</v>
      </c>
      <c r="E841" s="1" t="s">
        <v>1688</v>
      </c>
    </row>
    <row r="842" spans="1:5" ht="25">
      <c r="A842" s="2">
        <f ca="1">IF(COUNTIF($AA$1:$BXX$24,842) = 0,RAND(),RAND()-1)</f>
        <v>0.93612928816022034</v>
      </c>
      <c r="B842" s="2" t="e">
        <f t="shared" ca="1" si="21"/>
        <v>#N/A</v>
      </c>
      <c r="C842" s="1">
        <v>842</v>
      </c>
      <c r="D842" s="1" t="s">
        <v>1689</v>
      </c>
      <c r="E842" s="1" t="s">
        <v>1690</v>
      </c>
    </row>
    <row r="843" spans="1:5" ht="25">
      <c r="A843" s="2">
        <f ca="1">IF(COUNTIF($AA$1:$BXX$24,843) = 0,RAND(),RAND()-1)</f>
        <v>0.76504434220738082</v>
      </c>
      <c r="B843" s="2" t="e">
        <f t="shared" ca="1" si="21"/>
        <v>#N/A</v>
      </c>
      <c r="C843" s="1">
        <v>843</v>
      </c>
      <c r="D843" s="1" t="s">
        <v>1691</v>
      </c>
      <c r="E843" s="1" t="s">
        <v>1692</v>
      </c>
    </row>
    <row r="844" spans="1:5" ht="25">
      <c r="A844" s="2">
        <f ca="1">IF(COUNTIF($AA$1:$BXX$24,844) = 0,RAND(),RAND()-1)</f>
        <v>0.5649055754968747</v>
      </c>
      <c r="B844" s="2" t="e">
        <f t="shared" ca="1" si="21"/>
        <v>#N/A</v>
      </c>
      <c r="C844" s="1">
        <v>844</v>
      </c>
      <c r="D844" s="1" t="s">
        <v>1693</v>
      </c>
      <c r="E844" s="1" t="s">
        <v>1694</v>
      </c>
    </row>
    <row r="845" spans="1:5" ht="25">
      <c r="A845" s="2">
        <f ca="1">IF(COUNTIF($AA$1:$BXX$24,845) = 0,RAND(),RAND()-1)</f>
        <v>0.72926610449076756</v>
      </c>
      <c r="B845" s="2" t="e">
        <f t="shared" ca="1" si="21"/>
        <v>#N/A</v>
      </c>
      <c r="C845" s="1">
        <v>845</v>
      </c>
      <c r="D845" s="1" t="s">
        <v>1695</v>
      </c>
      <c r="E845" s="1" t="s">
        <v>1696</v>
      </c>
    </row>
    <row r="846" spans="1:5" ht="25">
      <c r="A846" s="2">
        <f ca="1">IF(COUNTIF($AA$1:$BXX$24,846) = 0,RAND(),RAND()-1)</f>
        <v>0.99883826241104257</v>
      </c>
      <c r="B846" s="2" t="e">
        <f t="shared" ca="1" si="21"/>
        <v>#N/A</v>
      </c>
      <c r="C846" s="1">
        <v>846</v>
      </c>
      <c r="D846" s="1" t="s">
        <v>1697</v>
      </c>
      <c r="E846" s="1" t="s">
        <v>1698</v>
      </c>
    </row>
    <row r="847" spans="1:5" ht="25">
      <c r="A847" s="2">
        <f ca="1">IF(COUNTIF($AA$1:$BXX$24,847) = 0,RAND(),RAND()-1)</f>
        <v>8.3374132159096725E-2</v>
      </c>
      <c r="B847" s="2" t="e">
        <f t="shared" ca="1" si="21"/>
        <v>#N/A</v>
      </c>
      <c r="C847" s="1">
        <v>847</v>
      </c>
      <c r="D847" s="1" t="s">
        <v>1699</v>
      </c>
      <c r="E847" s="1" t="s">
        <v>1700</v>
      </c>
    </row>
    <row r="848" spans="1:5" ht="25">
      <c r="A848" s="2">
        <f ca="1">IF(COUNTIF($AA$1:$BXX$24,848) = 0,RAND(),RAND()-1)</f>
        <v>0.59761173158843517</v>
      </c>
      <c r="B848" s="2" t="e">
        <f t="shared" ca="1" si="21"/>
        <v>#N/A</v>
      </c>
      <c r="C848" s="1">
        <v>848</v>
      </c>
      <c r="D848" s="1" t="s">
        <v>1701</v>
      </c>
      <c r="E848" s="1" t="s">
        <v>1182</v>
      </c>
    </row>
    <row r="849" spans="1:5" ht="25">
      <c r="A849" s="2">
        <f ca="1">IF(COUNTIF($AA$1:$BXX$24,849) = 0,RAND(),RAND()-1)</f>
        <v>0.48408387283829013</v>
      </c>
      <c r="B849" s="2" t="e">
        <f t="shared" ca="1" si="21"/>
        <v>#N/A</v>
      </c>
      <c r="C849" s="1">
        <v>849</v>
      </c>
      <c r="D849" s="1" t="s">
        <v>1702</v>
      </c>
      <c r="E849" s="1" t="s">
        <v>1703</v>
      </c>
    </row>
    <row r="850" spans="1:5" ht="25">
      <c r="A850" s="2">
        <f ca="1">IF(COUNTIF($AA$1:$BXX$24,850) = 0,RAND(),RAND()-1)</f>
        <v>0.97776798070204751</v>
      </c>
      <c r="B850" s="2" t="e">
        <f t="shared" ca="1" si="21"/>
        <v>#N/A</v>
      </c>
      <c r="C850" s="1">
        <v>850</v>
      </c>
      <c r="D850" s="1" t="s">
        <v>1704</v>
      </c>
      <c r="E850" s="1" t="s">
        <v>1705</v>
      </c>
    </row>
    <row r="851" spans="1:5" ht="25">
      <c r="A851" s="2">
        <f ca="1">IF(COUNTIF($AA$1:$BXX$24,851) = 0,RAND(),RAND()-1)</f>
        <v>0.39960204080539463</v>
      </c>
      <c r="B851" s="2" t="e">
        <f t="shared" ca="1" si="21"/>
        <v>#N/A</v>
      </c>
      <c r="C851" s="1">
        <v>851</v>
      </c>
      <c r="D851" s="1" t="s">
        <v>1706</v>
      </c>
      <c r="E851" s="1" t="s">
        <v>1707</v>
      </c>
    </row>
    <row r="852" spans="1:5" ht="25">
      <c r="A852" s="2">
        <f ca="1">IF(COUNTIF($AA$1:$BXX$24,852) = 0,RAND(),RAND()-1)</f>
        <v>0.72720475979937849</v>
      </c>
      <c r="B852" s="2" t="e">
        <f t="shared" ca="1" si="21"/>
        <v>#N/A</v>
      </c>
      <c r="C852" s="1">
        <v>852</v>
      </c>
      <c r="D852" s="1" t="s">
        <v>1708</v>
      </c>
      <c r="E852" s="1" t="s">
        <v>1709</v>
      </c>
    </row>
    <row r="853" spans="1:5" ht="25">
      <c r="A853" s="2">
        <f ca="1">IF(COUNTIF($AA$1:$BXX$24,853) = 0,RAND(),RAND()-1)</f>
        <v>0.22462053894581235</v>
      </c>
      <c r="B853" s="2" t="e">
        <f t="shared" ca="1" si="21"/>
        <v>#N/A</v>
      </c>
      <c r="C853" s="1">
        <v>853</v>
      </c>
      <c r="D853" s="1" t="s">
        <v>1710</v>
      </c>
      <c r="E853" s="1" t="s">
        <v>1711</v>
      </c>
    </row>
    <row r="854" spans="1:5" ht="25">
      <c r="A854" s="2">
        <f ca="1">IF(COUNTIF($AA$1:$BXX$24,854) = 0,RAND(),RAND()-1)</f>
        <v>0.42268725507117166</v>
      </c>
      <c r="B854" s="2" t="e">
        <f t="shared" ca="1" si="21"/>
        <v>#N/A</v>
      </c>
      <c r="C854" s="1">
        <v>854</v>
      </c>
      <c r="D854" s="1" t="s">
        <v>1712</v>
      </c>
      <c r="E854" s="1" t="s">
        <v>353</v>
      </c>
    </row>
    <row r="855" spans="1:5" ht="25">
      <c r="A855" s="2">
        <f ca="1">IF(COUNTIF($AA$1:$BXX$24,855) = 0,RAND(),RAND()-1)</f>
        <v>0.64410995874706878</v>
      </c>
      <c r="B855" s="2" t="e">
        <f t="shared" ca="1" si="21"/>
        <v>#N/A</v>
      </c>
      <c r="C855" s="1">
        <v>855</v>
      </c>
      <c r="D855" s="1" t="s">
        <v>1713</v>
      </c>
      <c r="E855" s="1" t="s">
        <v>1714</v>
      </c>
    </row>
    <row r="856" spans="1:5" ht="25">
      <c r="A856" s="2">
        <f ca="1">IF(COUNTIF($AA$1:$BXX$24,856) = 0,RAND(),RAND()-1)</f>
        <v>0.90535764975701361</v>
      </c>
      <c r="B856" s="2" t="e">
        <f t="shared" ca="1" si="21"/>
        <v>#N/A</v>
      </c>
      <c r="C856" s="1">
        <v>856</v>
      </c>
      <c r="D856" s="1" t="s">
        <v>1715</v>
      </c>
      <c r="E856" s="1" t="s">
        <v>1716</v>
      </c>
    </row>
    <row r="857" spans="1:5" ht="25">
      <c r="A857" s="2">
        <f ca="1">IF(COUNTIF($AA$1:$BXX$24,857) = 0,RAND(),RAND()-1)</f>
        <v>0.97865098057404221</v>
      </c>
      <c r="B857" s="2" t="e">
        <f t="shared" ca="1" si="21"/>
        <v>#N/A</v>
      </c>
      <c r="C857" s="1">
        <v>857</v>
      </c>
      <c r="D857" s="1" t="s">
        <v>1717</v>
      </c>
      <c r="E857" s="1" t="s">
        <v>1718</v>
      </c>
    </row>
    <row r="858" spans="1:5" ht="25">
      <c r="A858" s="2">
        <f ca="1">IF(COUNTIF($AA$1:$BXX$24,858) = 0,RAND(),RAND()-1)</f>
        <v>0.13814165746143958</v>
      </c>
      <c r="B858" s="2" t="e">
        <f t="shared" ca="1" si="21"/>
        <v>#N/A</v>
      </c>
      <c r="C858" s="1">
        <v>858</v>
      </c>
      <c r="D858" s="1" t="s">
        <v>1719</v>
      </c>
      <c r="E858" s="1" t="s">
        <v>215</v>
      </c>
    </row>
    <row r="859" spans="1:5" ht="25">
      <c r="A859" s="2">
        <f ca="1">IF(COUNTIF($AA$1:$BXX$24,859) = 0,RAND(),RAND()-1)</f>
        <v>0.50222538689263729</v>
      </c>
      <c r="B859" s="2" t="e">
        <f t="shared" ca="1" si="21"/>
        <v>#N/A</v>
      </c>
      <c r="C859" s="1">
        <v>859</v>
      </c>
      <c r="D859" s="1" t="s">
        <v>1720</v>
      </c>
      <c r="E859" s="1" t="s">
        <v>1721</v>
      </c>
    </row>
    <row r="860" spans="1:5" ht="25">
      <c r="A860" s="2">
        <f ca="1">IF(COUNTIF($AA$1:$BXX$24,860) = 0,RAND(),RAND()-1)</f>
        <v>0.48796450584181084</v>
      </c>
      <c r="B860" s="2" t="e">
        <f t="shared" ca="1" si="21"/>
        <v>#N/A</v>
      </c>
      <c r="C860" s="1">
        <v>860</v>
      </c>
      <c r="D860" s="1" t="s">
        <v>1722</v>
      </c>
      <c r="E860" s="1" t="s">
        <v>1723</v>
      </c>
    </row>
    <row r="861" spans="1:5" ht="25">
      <c r="A861" s="2">
        <f ca="1">IF(COUNTIF($AA$1:$BXX$24,861) = 0,RAND(),RAND()-1)</f>
        <v>0.97235862906638937</v>
      </c>
      <c r="B861" s="2" t="e">
        <f t="shared" ca="1" si="21"/>
        <v>#N/A</v>
      </c>
      <c r="C861" s="1">
        <v>861</v>
      </c>
      <c r="D861" s="1" t="s">
        <v>1724</v>
      </c>
      <c r="E861" s="1" t="s">
        <v>1725</v>
      </c>
    </row>
    <row r="862" spans="1:5" ht="25">
      <c r="A862" s="2">
        <f ca="1">IF(COUNTIF($AA$1:$BXX$24,862) = 0,RAND(),RAND()-1)</f>
        <v>0.59382145806111886</v>
      </c>
      <c r="B862" s="2" t="e">
        <f t="shared" ca="1" si="21"/>
        <v>#N/A</v>
      </c>
      <c r="C862" s="1">
        <v>862</v>
      </c>
      <c r="D862" s="1" t="s">
        <v>1726</v>
      </c>
      <c r="E862" s="1" t="s">
        <v>1727</v>
      </c>
    </row>
    <row r="863" spans="1:5" ht="25">
      <c r="A863" s="2">
        <f ca="1">IF(COUNTIF($AA$1:$BXX$24,863) = 0,RAND(),RAND()-1)</f>
        <v>0.86611206373931149</v>
      </c>
      <c r="B863" s="2" t="e">
        <f t="shared" ca="1" si="21"/>
        <v>#N/A</v>
      </c>
      <c r="C863" s="1">
        <v>863</v>
      </c>
      <c r="D863" s="1" t="s">
        <v>1728</v>
      </c>
      <c r="E863" s="1" t="s">
        <v>1729</v>
      </c>
    </row>
    <row r="864" spans="1:5" ht="25">
      <c r="A864" s="2">
        <f ca="1">IF(COUNTIF($AA$1:$BXX$24,864) = 0,RAND(),RAND()-1)</f>
        <v>0.84242606887204252</v>
      </c>
      <c r="B864" s="2" t="e">
        <f t="shared" ca="1" si="21"/>
        <v>#N/A</v>
      </c>
      <c r="C864" s="1">
        <v>864</v>
      </c>
      <c r="D864" s="1" t="s">
        <v>1730</v>
      </c>
      <c r="E864" s="1" t="s">
        <v>1731</v>
      </c>
    </row>
    <row r="865" spans="1:5" ht="25">
      <c r="A865" s="2">
        <f ca="1">IF(COUNTIF($AA$1:$BXX$24,865) = 0,RAND(),RAND()-1)</f>
        <v>1.7830771304778725E-2</v>
      </c>
      <c r="B865" s="2" t="e">
        <f t="shared" ca="1" si="21"/>
        <v>#N/A</v>
      </c>
      <c r="C865" s="1">
        <v>865</v>
      </c>
      <c r="D865" s="1" t="s">
        <v>1732</v>
      </c>
      <c r="E865" s="1" t="s">
        <v>1733</v>
      </c>
    </row>
    <row r="866" spans="1:5" ht="25">
      <c r="A866" s="2">
        <f ca="1">IF(COUNTIF($AA$1:$BXX$24,866) = 0,RAND(),RAND()-1)</f>
        <v>0.2900196997235589</v>
      </c>
      <c r="B866" s="2" t="e">
        <f t="shared" ca="1" si="21"/>
        <v>#N/A</v>
      </c>
      <c r="C866" s="1">
        <v>866</v>
      </c>
      <c r="D866" s="1" t="s">
        <v>1734</v>
      </c>
      <c r="E866" s="1" t="s">
        <v>1735</v>
      </c>
    </row>
    <row r="867" spans="1:5" ht="25">
      <c r="A867" s="2">
        <f ca="1">IF(COUNTIF($AA$1:$BXX$24,867) = 0,RAND(),RAND()-1)</f>
        <v>0.70795154901357482</v>
      </c>
      <c r="B867" s="2" t="e">
        <f t="shared" ca="1" si="21"/>
        <v>#N/A</v>
      </c>
      <c r="C867" s="1">
        <v>867</v>
      </c>
      <c r="D867" s="1" t="s">
        <v>1736</v>
      </c>
      <c r="E867" s="1" t="s">
        <v>1737</v>
      </c>
    </row>
    <row r="868" spans="1:5" ht="25">
      <c r="A868" s="2">
        <f ca="1">IF(COUNTIF($AA$1:$BXX$24,868) = 0,RAND(),RAND()-1)</f>
        <v>0.20879042358410038</v>
      </c>
      <c r="B868" s="2" t="e">
        <f t="shared" ca="1" si="21"/>
        <v>#N/A</v>
      </c>
      <c r="C868" s="1">
        <v>868</v>
      </c>
      <c r="D868" s="1" t="s">
        <v>1738</v>
      </c>
      <c r="E868" s="1" t="s">
        <v>1739</v>
      </c>
    </row>
    <row r="869" spans="1:5" ht="25">
      <c r="A869" s="2">
        <f ca="1">IF(COUNTIF($AA$1:$BXX$24,869) = 0,RAND(),RAND()-1)</f>
        <v>0.39923032871069164</v>
      </c>
      <c r="B869" s="2" t="e">
        <f t="shared" ca="1" si="21"/>
        <v>#N/A</v>
      </c>
      <c r="C869" s="1">
        <v>869</v>
      </c>
      <c r="D869" s="1" t="s">
        <v>1740</v>
      </c>
      <c r="E869" s="1" t="s">
        <v>1741</v>
      </c>
    </row>
    <row r="870" spans="1:5" ht="25">
      <c r="A870" s="2">
        <f ca="1">IF(COUNTIF($AA$1:$BXX$24,870) = 0,RAND(),RAND()-1)</f>
        <v>0.29711310635835508</v>
      </c>
      <c r="B870" s="2" t="e">
        <f t="shared" ca="1" si="21"/>
        <v>#N/A</v>
      </c>
      <c r="C870" s="1">
        <v>870</v>
      </c>
      <c r="D870" s="1" t="s">
        <v>1742</v>
      </c>
      <c r="E870" s="1" t="s">
        <v>1743</v>
      </c>
    </row>
    <row r="871" spans="1:5" ht="25">
      <c r="A871" s="2">
        <f ca="1">IF(COUNTIF($AA$1:$BXX$24,871) = 0,RAND(),RAND()-1)</f>
        <v>0.57857983822454429</v>
      </c>
      <c r="B871" s="2" t="e">
        <f t="shared" ca="1" si="21"/>
        <v>#N/A</v>
      </c>
      <c r="C871" s="1">
        <v>871</v>
      </c>
      <c r="D871" s="1" t="s">
        <v>1744</v>
      </c>
      <c r="E871" s="1" t="s">
        <v>284</v>
      </c>
    </row>
    <row r="872" spans="1:5" ht="25">
      <c r="A872" s="2">
        <f ca="1">IF(COUNTIF($AA$1:$BXX$24,872) = 0,RAND(),RAND()-1)</f>
        <v>0.20583977352914173</v>
      </c>
      <c r="B872" s="2" t="e">
        <f t="shared" ca="1" si="21"/>
        <v>#N/A</v>
      </c>
      <c r="C872" s="1">
        <v>872</v>
      </c>
      <c r="D872" s="1" t="s">
        <v>1745</v>
      </c>
      <c r="E872" s="1" t="s">
        <v>706</v>
      </c>
    </row>
    <row r="873" spans="1:5" ht="25">
      <c r="A873" s="2">
        <f ca="1">IF(COUNTIF($AA$1:$BXX$24,873) = 0,RAND(),RAND()-1)</f>
        <v>0.20665657263857518</v>
      </c>
      <c r="B873" s="2" t="e">
        <f t="shared" ca="1" si="21"/>
        <v>#N/A</v>
      </c>
      <c r="C873" s="1">
        <v>873</v>
      </c>
      <c r="D873" s="1" t="s">
        <v>1746</v>
      </c>
      <c r="E873" s="1" t="s">
        <v>1747</v>
      </c>
    </row>
    <row r="874" spans="1:5" ht="25">
      <c r="A874" s="2">
        <f ca="1">IF(COUNTIF($AA$1:$BXX$24,874) = 0,RAND(),RAND()-1)</f>
        <v>8.4761464433982137E-2</v>
      </c>
      <c r="B874" s="2" t="e">
        <f t="shared" ca="1" si="21"/>
        <v>#N/A</v>
      </c>
      <c r="C874" s="1">
        <v>874</v>
      </c>
      <c r="D874" s="1" t="s">
        <v>1748</v>
      </c>
      <c r="E874" s="1" t="s">
        <v>1749</v>
      </c>
    </row>
    <row r="875" spans="1:5" ht="25">
      <c r="A875" s="2">
        <f ca="1">IF(COUNTIF($AA$1:$BXX$24,875) = 0,RAND(),RAND()-1)</f>
        <v>0.49026950501440081</v>
      </c>
      <c r="B875" s="2" t="e">
        <f t="shared" ca="1" si="21"/>
        <v>#N/A</v>
      </c>
      <c r="C875" s="1">
        <v>875</v>
      </c>
      <c r="D875" s="1" t="s">
        <v>1750</v>
      </c>
      <c r="E875" s="1" t="s">
        <v>1751</v>
      </c>
    </row>
    <row r="876" spans="1:5" ht="25">
      <c r="A876" s="2">
        <f ca="1">IF(COUNTIF($AA$1:$BXX$24,876) = 0,RAND(),RAND()-1)</f>
        <v>0.70193682113263622</v>
      </c>
      <c r="B876" s="2" t="e">
        <f t="shared" ca="1" si="21"/>
        <v>#N/A</v>
      </c>
      <c r="C876" s="1">
        <v>876</v>
      </c>
      <c r="D876" s="1" t="s">
        <v>1752</v>
      </c>
      <c r="E876" s="1" t="s">
        <v>1753</v>
      </c>
    </row>
    <row r="877" spans="1:5" ht="25">
      <c r="A877" s="2">
        <f ca="1">IF(COUNTIF($AA$1:$BXX$24,877) = 0,RAND(),RAND()-1)</f>
        <v>0.4031081001104273</v>
      </c>
      <c r="B877" s="2" t="e">
        <f t="shared" ca="1" si="21"/>
        <v>#N/A</v>
      </c>
      <c r="C877" s="1">
        <v>877</v>
      </c>
      <c r="D877" s="1" t="s">
        <v>1754</v>
      </c>
      <c r="E877" s="1" t="s">
        <v>1755</v>
      </c>
    </row>
    <row r="878" spans="1:5" ht="25">
      <c r="A878" s="2">
        <f ca="1">IF(COUNTIF($AA$1:$BXX$24,878) = 0,RAND(),RAND()-1)</f>
        <v>0.1580033004242406</v>
      </c>
      <c r="B878" s="2" t="e">
        <f t="shared" ca="1" si="21"/>
        <v>#N/A</v>
      </c>
      <c r="C878" s="1">
        <v>878</v>
      </c>
      <c r="D878" s="1" t="s">
        <v>1756</v>
      </c>
      <c r="E878" s="1" t="s">
        <v>1757</v>
      </c>
    </row>
    <row r="879" spans="1:5" ht="25">
      <c r="A879" s="2">
        <f ca="1">IF(COUNTIF($AA$1:$BXX$24,879) = 0,RAND(),RAND()-1)</f>
        <v>0.41515533091287959</v>
      </c>
      <c r="B879" s="2" t="e">
        <f t="shared" ca="1" si="21"/>
        <v>#N/A</v>
      </c>
      <c r="C879" s="1">
        <v>879</v>
      </c>
      <c r="D879" s="1" t="s">
        <v>1758</v>
      </c>
      <c r="E879" s="1" t="s">
        <v>1759</v>
      </c>
    </row>
    <row r="880" spans="1:5" ht="25">
      <c r="A880" s="2">
        <f ca="1">IF(COUNTIF($AA$1:$BXX$24,880) = 0,RAND(),RAND()-1)</f>
        <v>6.0364832668119428E-3</v>
      </c>
      <c r="B880" s="2" t="e">
        <f t="shared" ca="1" si="21"/>
        <v>#N/A</v>
      </c>
      <c r="C880" s="1">
        <v>880</v>
      </c>
      <c r="D880" s="1" t="s">
        <v>1760</v>
      </c>
      <c r="E880" s="1" t="s">
        <v>1761</v>
      </c>
    </row>
    <row r="881" spans="1:5" ht="25">
      <c r="A881" s="2">
        <f ca="1">IF(COUNTIF($AA$1:$BXX$24,881) = 0,RAND(),RAND()-1)</f>
        <v>0.43236667572167431</v>
      </c>
      <c r="B881" s="2" t="e">
        <f t="shared" ca="1" si="21"/>
        <v>#N/A</v>
      </c>
      <c r="C881" s="1">
        <v>881</v>
      </c>
      <c r="D881" s="1" t="s">
        <v>1762</v>
      </c>
      <c r="E881" s="1" t="s">
        <v>1763</v>
      </c>
    </row>
    <row r="882" spans="1:5" ht="25">
      <c r="A882" s="2">
        <f ca="1">IF(COUNTIF($AA$1:$BXX$24,882) = 0,RAND(),RAND()-1)</f>
        <v>0.43386606146757567</v>
      </c>
      <c r="B882" s="2" t="e">
        <f t="shared" ca="1" si="21"/>
        <v>#N/A</v>
      </c>
      <c r="C882" s="1">
        <v>882</v>
      </c>
      <c r="D882" s="1" t="s">
        <v>1764</v>
      </c>
      <c r="E882" s="1" t="s">
        <v>1765</v>
      </c>
    </row>
    <row r="883" spans="1:5" ht="25">
      <c r="A883" s="2">
        <f ca="1">IF(COUNTIF($AA$1:$BXX$24,883) = 0,RAND(),RAND()-1)</f>
        <v>0.5680325365160156</v>
      </c>
      <c r="B883" s="2" t="e">
        <f t="shared" ca="1" si="21"/>
        <v>#N/A</v>
      </c>
      <c r="C883" s="1">
        <v>883</v>
      </c>
      <c r="D883" s="1" t="s">
        <v>1766</v>
      </c>
      <c r="E883" s="1" t="s">
        <v>1767</v>
      </c>
    </row>
    <row r="884" spans="1:5" ht="25">
      <c r="A884" s="2">
        <f ca="1">IF(COUNTIF($AA$1:$BXX$24,884) = 0,RAND(),RAND()-1)</f>
        <v>0.2979361543489748</v>
      </c>
      <c r="B884" s="2" t="e">
        <f t="shared" ca="1" si="21"/>
        <v>#N/A</v>
      </c>
      <c r="C884" s="1">
        <v>884</v>
      </c>
      <c r="D884" s="1" t="s">
        <v>1768</v>
      </c>
      <c r="E884" s="1" t="s">
        <v>1769</v>
      </c>
    </row>
    <row r="885" spans="1:5" ht="25">
      <c r="A885" s="2">
        <f ca="1">IF(COUNTIF($AA$1:$BXX$24,885) = 0,RAND(),RAND()-1)</f>
        <v>0.66861909729659652</v>
      </c>
      <c r="B885" s="2" t="e">
        <f t="shared" ca="1" si="21"/>
        <v>#N/A</v>
      </c>
      <c r="C885" s="1">
        <v>885</v>
      </c>
      <c r="D885" s="1" t="s">
        <v>1770</v>
      </c>
      <c r="E885" s="1" t="s">
        <v>1771</v>
      </c>
    </row>
    <row r="886" spans="1:5" ht="25">
      <c r="A886" s="2">
        <f ca="1">IF(COUNTIF($AA$1:$BXX$24,886) = 0,RAND(),RAND()-1)</f>
        <v>0.95910669346589872</v>
      </c>
      <c r="B886" s="2" t="e">
        <f t="shared" ca="1" si="21"/>
        <v>#N/A</v>
      </c>
      <c r="C886" s="1">
        <v>886</v>
      </c>
      <c r="D886" s="1" t="s">
        <v>1772</v>
      </c>
      <c r="E886" s="1" t="s">
        <v>1773</v>
      </c>
    </row>
    <row r="887" spans="1:5" ht="25">
      <c r="A887" s="2">
        <f ca="1">IF(COUNTIF($AA$1:$BXX$24,887) = 0,RAND(),RAND()-1)</f>
        <v>0.24009060399750182</v>
      </c>
      <c r="B887" s="2" t="e">
        <f t="shared" ca="1" si="21"/>
        <v>#N/A</v>
      </c>
      <c r="C887" s="1">
        <v>887</v>
      </c>
      <c r="D887" s="1" t="s">
        <v>1774</v>
      </c>
      <c r="E887" s="1" t="s">
        <v>1775</v>
      </c>
    </row>
    <row r="888" spans="1:5" ht="25">
      <c r="A888" s="2">
        <f ca="1">IF(COUNTIF($AA$1:$BXX$24,888) = 0,RAND(),RAND()-1)</f>
        <v>0.91110819179625413</v>
      </c>
      <c r="B888" s="2" t="e">
        <f t="shared" ca="1" si="21"/>
        <v>#N/A</v>
      </c>
      <c r="C888" s="1">
        <v>888</v>
      </c>
      <c r="D888" s="1" t="s">
        <v>1776</v>
      </c>
      <c r="E888" s="1" t="s">
        <v>1777</v>
      </c>
    </row>
    <row r="889" spans="1:5" ht="25">
      <c r="A889" s="2">
        <f ca="1">IF(COUNTIF($AA$1:$BXX$24,889) = 0,RAND(),RAND()-1)</f>
        <v>0.64442924723971307</v>
      </c>
      <c r="B889" s="2" t="e">
        <f t="shared" ca="1" si="21"/>
        <v>#N/A</v>
      </c>
      <c r="C889" s="1">
        <v>889</v>
      </c>
      <c r="D889" s="1" t="s">
        <v>1778</v>
      </c>
      <c r="E889" s="1" t="s">
        <v>1779</v>
      </c>
    </row>
    <row r="890" spans="1:5" ht="25">
      <c r="A890" s="2">
        <f ca="1">IF(COUNTIF($AA$1:$BXX$24,890) = 0,RAND(),RAND()-1)</f>
        <v>0.73323174178446426</v>
      </c>
      <c r="B890" s="2" t="e">
        <f t="shared" ca="1" si="21"/>
        <v>#N/A</v>
      </c>
      <c r="C890" s="1">
        <v>890</v>
      </c>
      <c r="D890" s="1" t="s">
        <v>1780</v>
      </c>
      <c r="E890" s="1" t="s">
        <v>1781</v>
      </c>
    </row>
    <row r="891" spans="1:5" ht="25">
      <c r="A891" s="2">
        <f ca="1">IF(COUNTIF($AA$1:$BXX$24,891) = 0,RAND(),RAND()-1)</f>
        <v>0.10382330290218478</v>
      </c>
      <c r="B891" s="2" t="e">
        <f t="shared" ca="1" si="21"/>
        <v>#N/A</v>
      </c>
      <c r="C891" s="1">
        <v>891</v>
      </c>
      <c r="D891" s="1" t="s">
        <v>1782</v>
      </c>
      <c r="E891" s="1" t="s">
        <v>93</v>
      </c>
    </row>
    <row r="892" spans="1:5" ht="25">
      <c r="A892" s="2">
        <f ca="1">IF(COUNTIF($AA$1:$BXX$24,892) = 0,RAND(),RAND()-1)</f>
        <v>0.22324115524805443</v>
      </c>
      <c r="B892" s="2" t="e">
        <f t="shared" ca="1" si="21"/>
        <v>#N/A</v>
      </c>
      <c r="C892" s="1">
        <v>892</v>
      </c>
      <c r="D892" s="1" t="s">
        <v>1783</v>
      </c>
      <c r="E892" s="1" t="s">
        <v>1784</v>
      </c>
    </row>
    <row r="893" spans="1:5" ht="25">
      <c r="A893" s="2">
        <f ca="1">IF(COUNTIF($AA$1:$BXX$24,893) = 0,RAND(),RAND()-1)</f>
        <v>0.52269911664548929</v>
      </c>
      <c r="B893" s="2" t="e">
        <f t="shared" ca="1" si="21"/>
        <v>#N/A</v>
      </c>
      <c r="C893" s="1">
        <v>893</v>
      </c>
      <c r="D893" s="1" t="s">
        <v>1785</v>
      </c>
      <c r="E893" s="1" t="s">
        <v>1786</v>
      </c>
    </row>
    <row r="894" spans="1:5" ht="25">
      <c r="A894" s="2">
        <f ca="1">IF(COUNTIF($AA$1:$BXX$24,894) = 0,RAND(),RAND()-1)</f>
        <v>0.524154174455569</v>
      </c>
      <c r="B894" s="2" t="e">
        <f t="shared" ca="1" si="21"/>
        <v>#N/A</v>
      </c>
      <c r="C894" s="1">
        <v>894</v>
      </c>
      <c r="D894" s="1" t="s">
        <v>1787</v>
      </c>
      <c r="E894" s="1" t="s">
        <v>1788</v>
      </c>
    </row>
    <row r="895" spans="1:5" ht="25">
      <c r="A895" s="2">
        <f ca="1">IF(COUNTIF($AA$1:$BXX$24,895) = 0,RAND(),RAND()-1)</f>
        <v>0.26786548284231571</v>
      </c>
      <c r="B895" s="2" t="e">
        <f t="shared" ca="1" si="21"/>
        <v>#N/A</v>
      </c>
      <c r="C895" s="1">
        <v>895</v>
      </c>
      <c r="D895" s="1" t="s">
        <v>1789</v>
      </c>
      <c r="E895" s="1" t="s">
        <v>1790</v>
      </c>
    </row>
    <row r="896" spans="1:5" ht="25">
      <c r="A896" s="2">
        <f ca="1">IF(COUNTIF($AA$1:$BXX$24,896) = 0,RAND(),RAND()-1)</f>
        <v>0.18079756811174985</v>
      </c>
      <c r="B896" s="2" t="e">
        <f t="shared" ca="1" si="21"/>
        <v>#N/A</v>
      </c>
      <c r="C896" s="1">
        <v>896</v>
      </c>
      <c r="D896" s="1" t="s">
        <v>1791</v>
      </c>
      <c r="E896" s="1" t="s">
        <v>1792</v>
      </c>
    </row>
    <row r="897" spans="1:5" ht="25">
      <c r="A897" s="2">
        <f ca="1">IF(COUNTIF($AA$1:$BXX$24,897) = 0,RAND(),RAND()-1)</f>
        <v>0.72968279445090001</v>
      </c>
      <c r="B897" s="2" t="e">
        <f t="shared" ref="B897:B960" ca="1" si="22">RANK(A897,OFFSET($A$1,$G$1-1,0,$G$2-$G$1+1))</f>
        <v>#N/A</v>
      </c>
      <c r="C897" s="1">
        <v>897</v>
      </c>
      <c r="D897" s="1" t="s">
        <v>1793</v>
      </c>
      <c r="E897" s="1" t="s">
        <v>1794</v>
      </c>
    </row>
    <row r="898" spans="1:5" ht="25">
      <c r="A898" s="2">
        <f ca="1">IF(COUNTIF($AA$1:$BXX$24,898) = 0,RAND(),RAND()-1)</f>
        <v>0.67789453221600249</v>
      </c>
      <c r="B898" s="2" t="e">
        <f t="shared" ca="1" si="22"/>
        <v>#N/A</v>
      </c>
      <c r="C898" s="1">
        <v>898</v>
      </c>
      <c r="D898" s="1" t="s">
        <v>1795</v>
      </c>
      <c r="E898" s="1" t="s">
        <v>1796</v>
      </c>
    </row>
    <row r="899" spans="1:5" ht="25">
      <c r="A899" s="2">
        <f ca="1">IF(COUNTIF($AA$1:$BXX$24,899) = 0,RAND(),RAND()-1)</f>
        <v>0.4339482842653688</v>
      </c>
      <c r="B899" s="2" t="e">
        <f t="shared" ca="1" si="22"/>
        <v>#N/A</v>
      </c>
      <c r="C899" s="1">
        <v>899</v>
      </c>
      <c r="D899" s="1" t="s">
        <v>1797</v>
      </c>
      <c r="E899" s="1" t="s">
        <v>1798</v>
      </c>
    </row>
    <row r="900" spans="1:5" ht="25">
      <c r="A900" s="2">
        <f ca="1">IF(COUNTIF($AA$1:$BXX$24,900) = 0,RAND(),RAND()-1)</f>
        <v>0.3330007590061953</v>
      </c>
      <c r="B900" s="2" t="e">
        <f t="shared" ca="1" si="22"/>
        <v>#N/A</v>
      </c>
      <c r="C900" s="1">
        <v>900</v>
      </c>
      <c r="D900" s="1" t="s">
        <v>1799</v>
      </c>
      <c r="E900" s="1" t="s">
        <v>1800</v>
      </c>
    </row>
    <row r="901" spans="1:5" ht="25">
      <c r="A901" s="2">
        <f ca="1">IF(COUNTIF($AA$1:$BXX$24,901) = 0,RAND(),RAND()-1)</f>
        <v>0.37139392509630209</v>
      </c>
      <c r="B901" s="2" t="e">
        <f t="shared" ca="1" si="22"/>
        <v>#N/A</v>
      </c>
      <c r="C901" s="1">
        <v>901</v>
      </c>
      <c r="D901" s="1" t="s">
        <v>1801</v>
      </c>
      <c r="E901" s="1" t="s">
        <v>1802</v>
      </c>
    </row>
    <row r="902" spans="1:5" ht="25">
      <c r="A902" s="2">
        <f ca="1">IF(COUNTIF($AA$1:$BXX$24,902) = 0,RAND(),RAND()-1)</f>
        <v>0.13971413766952134</v>
      </c>
      <c r="B902" s="2" t="e">
        <f t="shared" ca="1" si="22"/>
        <v>#N/A</v>
      </c>
      <c r="C902" s="1">
        <v>902</v>
      </c>
      <c r="D902" s="1" t="s">
        <v>1803</v>
      </c>
      <c r="E902" s="1" t="s">
        <v>1804</v>
      </c>
    </row>
    <row r="903" spans="1:5" ht="25">
      <c r="A903" s="2">
        <f ca="1">IF(COUNTIF($AA$1:$BXX$24,903) = 0,RAND(),RAND()-1)</f>
        <v>0.44403684693404522</v>
      </c>
      <c r="B903" s="2" t="e">
        <f t="shared" ca="1" si="22"/>
        <v>#N/A</v>
      </c>
      <c r="C903" s="1">
        <v>903</v>
      </c>
      <c r="D903" s="1" t="s">
        <v>1805</v>
      </c>
      <c r="E903" s="1" t="s">
        <v>1806</v>
      </c>
    </row>
    <row r="904" spans="1:5" ht="25">
      <c r="A904" s="2">
        <f ca="1">IF(COUNTIF($AA$1:$BXX$24,904) = 0,RAND(),RAND()-1)</f>
        <v>0.69356777009066373</v>
      </c>
      <c r="B904" s="2" t="e">
        <f t="shared" ca="1" si="22"/>
        <v>#N/A</v>
      </c>
      <c r="C904" s="1">
        <v>904</v>
      </c>
      <c r="D904" s="1" t="s">
        <v>1807</v>
      </c>
      <c r="E904" s="1" t="s">
        <v>1808</v>
      </c>
    </row>
    <row r="905" spans="1:5" ht="25">
      <c r="A905" s="2">
        <f ca="1">IF(COUNTIF($AA$1:$BXX$24,905) = 0,RAND(),RAND()-1)</f>
        <v>0.56864634487765731</v>
      </c>
      <c r="B905" s="2" t="e">
        <f t="shared" ca="1" si="22"/>
        <v>#N/A</v>
      </c>
      <c r="C905" s="1">
        <v>905</v>
      </c>
      <c r="D905" s="1" t="s">
        <v>1809</v>
      </c>
      <c r="E905" s="1" t="s">
        <v>1810</v>
      </c>
    </row>
    <row r="906" spans="1:5" ht="25">
      <c r="A906" s="2">
        <f ca="1">IF(COUNTIF($AA$1:$BXX$24,906) = 0,RAND(),RAND()-1)</f>
        <v>0.51751262236716411</v>
      </c>
      <c r="B906" s="2" t="e">
        <f t="shared" ca="1" si="22"/>
        <v>#N/A</v>
      </c>
      <c r="C906" s="1">
        <v>906</v>
      </c>
      <c r="D906" s="1" t="s">
        <v>1811</v>
      </c>
      <c r="E906" s="1" t="s">
        <v>1812</v>
      </c>
    </row>
    <row r="907" spans="1:5" ht="25">
      <c r="A907" s="2">
        <f ca="1">IF(COUNTIF($AA$1:$BXX$24,907) = 0,RAND(),RAND()-1)</f>
        <v>0.75895700780067876</v>
      </c>
      <c r="B907" s="2" t="e">
        <f t="shared" ca="1" si="22"/>
        <v>#N/A</v>
      </c>
      <c r="C907" s="1">
        <v>907</v>
      </c>
      <c r="D907" s="1" t="s">
        <v>1813</v>
      </c>
      <c r="E907" s="1" t="s">
        <v>1814</v>
      </c>
    </row>
    <row r="908" spans="1:5" ht="25">
      <c r="A908" s="2">
        <f ca="1">IF(COUNTIF($AA$1:$BXX$24,908) = 0,RAND(),RAND()-1)</f>
        <v>0.75879357715016393</v>
      </c>
      <c r="B908" s="2" t="e">
        <f t="shared" ca="1" si="22"/>
        <v>#N/A</v>
      </c>
      <c r="C908" s="1">
        <v>908</v>
      </c>
      <c r="D908" s="1" t="s">
        <v>1815</v>
      </c>
      <c r="E908" s="1" t="s">
        <v>1816</v>
      </c>
    </row>
    <row r="909" spans="1:5" ht="25">
      <c r="A909" s="2">
        <f ca="1">IF(COUNTIF($AA$1:$BXX$24,909) = 0,RAND(),RAND()-1)</f>
        <v>0.90761947318992253</v>
      </c>
      <c r="B909" s="2" t="e">
        <f t="shared" ca="1" si="22"/>
        <v>#N/A</v>
      </c>
      <c r="C909" s="1">
        <v>909</v>
      </c>
      <c r="D909" s="1" t="s">
        <v>1817</v>
      </c>
      <c r="E909" s="1" t="s">
        <v>1818</v>
      </c>
    </row>
    <row r="910" spans="1:5" ht="25">
      <c r="A910" s="2">
        <f ca="1">IF(COUNTIF($AA$1:$BXX$24,910) = 0,RAND(),RAND()-1)</f>
        <v>0.97326591207240565</v>
      </c>
      <c r="B910" s="2" t="e">
        <f t="shared" ca="1" si="22"/>
        <v>#N/A</v>
      </c>
      <c r="C910" s="1">
        <v>910</v>
      </c>
      <c r="D910" s="1" t="s">
        <v>1819</v>
      </c>
      <c r="E910" s="1" t="s">
        <v>1820</v>
      </c>
    </row>
    <row r="911" spans="1:5" ht="25">
      <c r="A911" s="2">
        <f ca="1">IF(COUNTIF($AA$1:$BXX$24,911) = 0,RAND(),RAND()-1)</f>
        <v>0.26753415692456572</v>
      </c>
      <c r="B911" s="2" t="e">
        <f t="shared" ca="1" si="22"/>
        <v>#N/A</v>
      </c>
      <c r="C911" s="1">
        <v>911</v>
      </c>
      <c r="D911" s="1" t="s">
        <v>1821</v>
      </c>
      <c r="E911" s="1" t="s">
        <v>1822</v>
      </c>
    </row>
    <row r="912" spans="1:5" ht="25">
      <c r="A912" s="2">
        <f ca="1">IF(COUNTIF($AA$1:$BXX$24,912) = 0,RAND(),RAND()-1)</f>
        <v>0.13442263205468086</v>
      </c>
      <c r="B912" s="2" t="e">
        <f t="shared" ca="1" si="22"/>
        <v>#N/A</v>
      </c>
      <c r="C912" s="1">
        <v>912</v>
      </c>
      <c r="D912" s="1" t="s">
        <v>1823</v>
      </c>
      <c r="E912" s="1" t="s">
        <v>1824</v>
      </c>
    </row>
    <row r="913" spans="1:5" ht="25">
      <c r="A913" s="2">
        <f ca="1">IF(COUNTIF($AA$1:$BXX$24,913) = 0,RAND(),RAND()-1)</f>
        <v>1.2777047478724768E-2</v>
      </c>
      <c r="B913" s="2" t="e">
        <f t="shared" ca="1" si="22"/>
        <v>#N/A</v>
      </c>
      <c r="C913" s="1">
        <v>913</v>
      </c>
      <c r="D913" s="1" t="s">
        <v>1825</v>
      </c>
      <c r="E913" s="1" t="s">
        <v>1826</v>
      </c>
    </row>
    <row r="914" spans="1:5" ht="25">
      <c r="A914" s="2">
        <f ca="1">IF(COUNTIF($AA$1:$BXX$24,914) = 0,RAND(),RAND()-1)</f>
        <v>0.47360166331286457</v>
      </c>
      <c r="B914" s="2" t="e">
        <f t="shared" ca="1" si="22"/>
        <v>#N/A</v>
      </c>
      <c r="C914" s="1">
        <v>914</v>
      </c>
      <c r="D914" s="1" t="s">
        <v>1827</v>
      </c>
      <c r="E914" s="1" t="s">
        <v>147</v>
      </c>
    </row>
    <row r="915" spans="1:5" ht="25">
      <c r="A915" s="2">
        <f ca="1">IF(COUNTIF($AA$1:$BXX$24,915) = 0,RAND(),RAND()-1)</f>
        <v>0.40940458135804525</v>
      </c>
      <c r="B915" s="2" t="e">
        <f t="shared" ca="1" si="22"/>
        <v>#N/A</v>
      </c>
      <c r="C915" s="1">
        <v>915</v>
      </c>
      <c r="D915" s="1" t="s">
        <v>1828</v>
      </c>
      <c r="E915" s="1" t="s">
        <v>1829</v>
      </c>
    </row>
    <row r="916" spans="1:5" ht="25">
      <c r="A916" s="2">
        <f ca="1">IF(COUNTIF($AA$1:$BXX$24,916) = 0,RAND(),RAND()-1)</f>
        <v>4.5033095335648587E-2</v>
      </c>
      <c r="B916" s="2" t="e">
        <f t="shared" ca="1" si="22"/>
        <v>#N/A</v>
      </c>
      <c r="C916" s="1">
        <v>916</v>
      </c>
      <c r="D916" s="1" t="s">
        <v>1830</v>
      </c>
      <c r="E916" s="1" t="s">
        <v>1831</v>
      </c>
    </row>
    <row r="917" spans="1:5" ht="25">
      <c r="A917" s="2">
        <f ca="1">IF(COUNTIF($AA$1:$BXX$24,917) = 0,RAND(),RAND()-1)</f>
        <v>0.27674163026693754</v>
      </c>
      <c r="B917" s="2" t="e">
        <f t="shared" ca="1" si="22"/>
        <v>#N/A</v>
      </c>
      <c r="C917" s="1">
        <v>917</v>
      </c>
      <c r="D917" s="1" t="s">
        <v>1832</v>
      </c>
      <c r="E917" s="1" t="s">
        <v>1833</v>
      </c>
    </row>
    <row r="918" spans="1:5" ht="25">
      <c r="A918" s="2">
        <f ca="1">IF(COUNTIF($AA$1:$BXX$24,918) = 0,RAND(),RAND()-1)</f>
        <v>0.4337966867732338</v>
      </c>
      <c r="B918" s="2" t="e">
        <f t="shared" ca="1" si="22"/>
        <v>#N/A</v>
      </c>
      <c r="C918" s="1">
        <v>918</v>
      </c>
      <c r="D918" s="1" t="s">
        <v>1834</v>
      </c>
      <c r="E918" s="1" t="s">
        <v>1835</v>
      </c>
    </row>
    <row r="919" spans="1:5" ht="25">
      <c r="A919" s="2">
        <f ca="1">IF(COUNTIF($AA$1:$BXX$24,919) = 0,RAND(),RAND()-1)</f>
        <v>2.3165591479158976E-2</v>
      </c>
      <c r="B919" s="2" t="e">
        <f t="shared" ca="1" si="22"/>
        <v>#N/A</v>
      </c>
      <c r="C919" s="1">
        <v>919</v>
      </c>
      <c r="D919" s="1" t="s">
        <v>1836</v>
      </c>
      <c r="E919" s="1" t="s">
        <v>1837</v>
      </c>
    </row>
    <row r="920" spans="1:5" ht="25">
      <c r="A920" s="2">
        <f ca="1">IF(COUNTIF($AA$1:$BXX$24,920) = 0,RAND(),RAND()-1)</f>
        <v>0.67295231942433775</v>
      </c>
      <c r="B920" s="2" t="e">
        <f t="shared" ca="1" si="22"/>
        <v>#N/A</v>
      </c>
      <c r="C920" s="1">
        <v>920</v>
      </c>
      <c r="D920" s="1" t="s">
        <v>1838</v>
      </c>
      <c r="E920" s="1" t="s">
        <v>1839</v>
      </c>
    </row>
    <row r="921" spans="1:5" ht="25">
      <c r="A921" s="2">
        <f ca="1">IF(COUNTIF($AA$1:$BXX$24,921) = 0,RAND(),RAND()-1)</f>
        <v>0.78947840275368331</v>
      </c>
      <c r="B921" s="2" t="e">
        <f t="shared" ca="1" si="22"/>
        <v>#N/A</v>
      </c>
      <c r="C921" s="1">
        <v>921</v>
      </c>
      <c r="D921" s="1" t="s">
        <v>1840</v>
      </c>
      <c r="E921" s="1" t="s">
        <v>236</v>
      </c>
    </row>
    <row r="922" spans="1:5" ht="25">
      <c r="A922" s="2">
        <f ca="1">IF(COUNTIF($AA$1:$BXX$24,922) = 0,RAND(),RAND()-1)</f>
        <v>0.49245113550153075</v>
      </c>
      <c r="B922" s="2" t="e">
        <f t="shared" ca="1" si="22"/>
        <v>#N/A</v>
      </c>
      <c r="C922" s="1">
        <v>922</v>
      </c>
      <c r="D922" s="1" t="s">
        <v>1841</v>
      </c>
      <c r="E922" s="1" t="s">
        <v>1842</v>
      </c>
    </row>
    <row r="923" spans="1:5" ht="25">
      <c r="A923" s="2">
        <f ca="1">IF(COUNTIF($AA$1:$BXX$24,923) = 0,RAND(),RAND()-1)</f>
        <v>0.59943712375166569</v>
      </c>
      <c r="B923" s="2" t="e">
        <f t="shared" ca="1" si="22"/>
        <v>#N/A</v>
      </c>
      <c r="C923" s="1">
        <v>923</v>
      </c>
      <c r="D923" s="1" t="s">
        <v>1843</v>
      </c>
      <c r="E923" s="1" t="s">
        <v>1844</v>
      </c>
    </row>
    <row r="924" spans="1:5" ht="25">
      <c r="A924" s="2">
        <f ca="1">IF(COUNTIF($AA$1:$BXX$24,924) = 0,RAND(),RAND()-1)</f>
        <v>0.86100205632938187</v>
      </c>
      <c r="B924" s="2" t="e">
        <f t="shared" ca="1" si="22"/>
        <v>#N/A</v>
      </c>
      <c r="C924" s="1">
        <v>924</v>
      </c>
      <c r="D924" s="1" t="s">
        <v>1845</v>
      </c>
      <c r="E924" s="1" t="s">
        <v>1846</v>
      </c>
    </row>
    <row r="925" spans="1:5" ht="25">
      <c r="A925" s="2">
        <f ca="1">IF(COUNTIF($AA$1:$BXX$24,925) = 0,RAND(),RAND()-1)</f>
        <v>0.80259576570892099</v>
      </c>
      <c r="B925" s="2" t="e">
        <f t="shared" ca="1" si="22"/>
        <v>#N/A</v>
      </c>
      <c r="C925" s="1">
        <v>925</v>
      </c>
      <c r="D925" s="1" t="s">
        <v>1847</v>
      </c>
      <c r="E925" s="1" t="s">
        <v>1848</v>
      </c>
    </row>
    <row r="926" spans="1:5" ht="25">
      <c r="A926" s="2">
        <f ca="1">IF(COUNTIF($AA$1:$BXX$24,926) = 0,RAND(),RAND()-1)</f>
        <v>0.26017761206607293</v>
      </c>
      <c r="B926" s="2" t="e">
        <f t="shared" ca="1" si="22"/>
        <v>#N/A</v>
      </c>
      <c r="C926" s="1">
        <v>926</v>
      </c>
      <c r="D926" s="1" t="s">
        <v>1849</v>
      </c>
      <c r="E926" s="1" t="s">
        <v>1850</v>
      </c>
    </row>
    <row r="927" spans="1:5" ht="25">
      <c r="A927" s="2">
        <f ca="1">IF(COUNTIF($AA$1:$BXX$24,927) = 0,RAND(),RAND()-1)</f>
        <v>9.1354986249734149E-2</v>
      </c>
      <c r="B927" s="2" t="e">
        <f t="shared" ca="1" si="22"/>
        <v>#N/A</v>
      </c>
      <c r="C927" s="1">
        <v>927</v>
      </c>
      <c r="D927" s="1" t="s">
        <v>1851</v>
      </c>
      <c r="E927" s="1" t="s">
        <v>1852</v>
      </c>
    </row>
    <row r="928" spans="1:5" ht="25">
      <c r="A928" s="2">
        <f ca="1">IF(COUNTIF($AA$1:$BXX$24,928) = 0,RAND(),RAND()-1)</f>
        <v>0.73143922829985109</v>
      </c>
      <c r="B928" s="2" t="e">
        <f t="shared" ca="1" si="22"/>
        <v>#N/A</v>
      </c>
      <c r="C928" s="1">
        <v>928</v>
      </c>
      <c r="D928" s="1" t="s">
        <v>1853</v>
      </c>
      <c r="E928" s="1" t="s">
        <v>1854</v>
      </c>
    </row>
    <row r="929" spans="1:5" ht="25">
      <c r="A929" s="2">
        <f ca="1">IF(COUNTIF($AA$1:$BXX$24,929) = 0,RAND(),RAND()-1)</f>
        <v>0.90027433315590644</v>
      </c>
      <c r="B929" s="2" t="e">
        <f t="shared" ca="1" si="22"/>
        <v>#N/A</v>
      </c>
      <c r="C929" s="1">
        <v>929</v>
      </c>
      <c r="D929" s="1" t="s">
        <v>1855</v>
      </c>
      <c r="E929" s="1" t="s">
        <v>1856</v>
      </c>
    </row>
    <row r="930" spans="1:5" ht="25">
      <c r="A930" s="2">
        <f ca="1">IF(COUNTIF($AA$1:$BXX$24,930) = 0,RAND(),RAND()-1)</f>
        <v>0.82800654920700234</v>
      </c>
      <c r="B930" s="2" t="e">
        <f t="shared" ca="1" si="22"/>
        <v>#N/A</v>
      </c>
      <c r="C930" s="1">
        <v>930</v>
      </c>
      <c r="D930" s="1" t="s">
        <v>1857</v>
      </c>
      <c r="E930" s="1" t="s">
        <v>1858</v>
      </c>
    </row>
    <row r="931" spans="1:5" ht="25">
      <c r="A931" s="2">
        <f ca="1">IF(COUNTIF($AA$1:$BXX$24,931) = 0,RAND(),RAND()-1)</f>
        <v>0.95621341472734744</v>
      </c>
      <c r="B931" s="2" t="e">
        <f t="shared" ca="1" si="22"/>
        <v>#N/A</v>
      </c>
      <c r="C931" s="1">
        <v>931</v>
      </c>
      <c r="D931" s="1" t="s">
        <v>1859</v>
      </c>
      <c r="E931" s="1" t="s">
        <v>1860</v>
      </c>
    </row>
    <row r="932" spans="1:5" ht="25">
      <c r="A932" s="2">
        <f ca="1">IF(COUNTIF($AA$1:$BXX$24,932) = 0,RAND(),RAND()-1)</f>
        <v>0.85014323561024607</v>
      </c>
      <c r="B932" s="2" t="e">
        <f t="shared" ca="1" si="22"/>
        <v>#N/A</v>
      </c>
      <c r="C932" s="1">
        <v>932</v>
      </c>
      <c r="D932" s="1" t="s">
        <v>1861</v>
      </c>
      <c r="E932" s="1" t="s">
        <v>1862</v>
      </c>
    </row>
    <row r="933" spans="1:5" ht="25">
      <c r="A933" s="2">
        <f ca="1">IF(COUNTIF($AA$1:$BXX$24,933) = 0,RAND(),RAND()-1)</f>
        <v>0.85290485682649431</v>
      </c>
      <c r="B933" s="2" t="e">
        <f t="shared" ca="1" si="22"/>
        <v>#N/A</v>
      </c>
      <c r="C933" s="1">
        <v>933</v>
      </c>
      <c r="D933" s="1" t="s">
        <v>1863</v>
      </c>
      <c r="E933" s="1" t="s">
        <v>832</v>
      </c>
    </row>
    <row r="934" spans="1:5" ht="25">
      <c r="A934" s="2">
        <f ca="1">IF(COUNTIF($AA$1:$BXX$24,934) = 0,RAND(),RAND()-1)</f>
        <v>0.48574365478659731</v>
      </c>
      <c r="B934" s="2" t="e">
        <f t="shared" ca="1" si="22"/>
        <v>#N/A</v>
      </c>
      <c r="C934" s="1">
        <v>934</v>
      </c>
      <c r="D934" s="1" t="s">
        <v>1864</v>
      </c>
      <c r="E934" s="1" t="s">
        <v>1865</v>
      </c>
    </row>
    <row r="935" spans="1:5" ht="25">
      <c r="A935" s="2">
        <f ca="1">IF(COUNTIF($AA$1:$BXX$24,935) = 0,RAND(),RAND()-1)</f>
        <v>0.46174540165123401</v>
      </c>
      <c r="B935" s="2" t="e">
        <f t="shared" ca="1" si="22"/>
        <v>#N/A</v>
      </c>
      <c r="C935" s="1">
        <v>935</v>
      </c>
      <c r="D935" s="1" t="s">
        <v>1866</v>
      </c>
      <c r="E935" s="1" t="s">
        <v>1867</v>
      </c>
    </row>
    <row r="936" spans="1:5" ht="25">
      <c r="A936" s="2">
        <f ca="1">IF(COUNTIF($AA$1:$BXX$24,936) = 0,RAND(),RAND()-1)</f>
        <v>0.3159230958946686</v>
      </c>
      <c r="B936" s="2" t="e">
        <f t="shared" ca="1" si="22"/>
        <v>#N/A</v>
      </c>
      <c r="C936" s="1">
        <v>936</v>
      </c>
      <c r="D936" s="1" t="s">
        <v>1868</v>
      </c>
      <c r="E936" s="1" t="s">
        <v>1869</v>
      </c>
    </row>
    <row r="937" spans="1:5" ht="25">
      <c r="A937" s="2">
        <f ca="1">IF(COUNTIF($AA$1:$BXX$24,937) = 0,RAND(),RAND()-1)</f>
        <v>0.3079332763394369</v>
      </c>
      <c r="B937" s="2" t="e">
        <f t="shared" ca="1" si="22"/>
        <v>#N/A</v>
      </c>
      <c r="C937" s="1">
        <v>937</v>
      </c>
      <c r="D937" s="1" t="s">
        <v>1870</v>
      </c>
      <c r="E937" s="1" t="s">
        <v>1871</v>
      </c>
    </row>
    <row r="938" spans="1:5" ht="25">
      <c r="A938" s="2">
        <f ca="1">IF(COUNTIF($AA$1:$BXX$24,938) = 0,RAND(),RAND()-1)</f>
        <v>0.12558655706380095</v>
      </c>
      <c r="B938" s="2" t="e">
        <f t="shared" ca="1" si="22"/>
        <v>#N/A</v>
      </c>
      <c r="C938" s="1">
        <v>938</v>
      </c>
      <c r="D938" s="1" t="s">
        <v>1872</v>
      </c>
      <c r="E938" s="1" t="s">
        <v>1873</v>
      </c>
    </row>
    <row r="939" spans="1:5" ht="25">
      <c r="A939" s="2">
        <f ca="1">IF(COUNTIF($AA$1:$BXX$24,939) = 0,RAND(),RAND()-1)</f>
        <v>0.42882832832840456</v>
      </c>
      <c r="B939" s="2" t="e">
        <f t="shared" ca="1" si="22"/>
        <v>#N/A</v>
      </c>
      <c r="C939" s="1">
        <v>939</v>
      </c>
      <c r="D939" s="1" t="s">
        <v>1874</v>
      </c>
      <c r="E939" s="1" t="s">
        <v>1875</v>
      </c>
    </row>
    <row r="940" spans="1:5" ht="25">
      <c r="A940" s="2">
        <f ca="1">IF(COUNTIF($AA$1:$BXX$24,940) = 0,RAND(),RAND()-1)</f>
        <v>0.25243216538219337</v>
      </c>
      <c r="B940" s="2" t="e">
        <f t="shared" ca="1" si="22"/>
        <v>#N/A</v>
      </c>
      <c r="C940" s="1">
        <v>940</v>
      </c>
      <c r="D940" s="1" t="s">
        <v>1876</v>
      </c>
      <c r="E940" s="1" t="s">
        <v>1877</v>
      </c>
    </row>
    <row r="941" spans="1:5" ht="25">
      <c r="A941" s="2">
        <f ca="1">IF(COUNTIF($AA$1:$BXX$24,941) = 0,RAND(),RAND()-1)</f>
        <v>0.56176602232770734</v>
      </c>
      <c r="B941" s="2" t="e">
        <f t="shared" ca="1" si="22"/>
        <v>#N/A</v>
      </c>
      <c r="C941" s="1">
        <v>941</v>
      </c>
      <c r="D941" s="1" t="s">
        <v>1878</v>
      </c>
      <c r="E941" s="1" t="s">
        <v>1879</v>
      </c>
    </row>
    <row r="942" spans="1:5" ht="25">
      <c r="A942" s="2">
        <f ca="1">IF(COUNTIF($AA$1:$BXX$24,942) = 0,RAND(),RAND()-1)</f>
        <v>0.21911293818632116</v>
      </c>
      <c r="B942" s="2" t="e">
        <f t="shared" ca="1" si="22"/>
        <v>#N/A</v>
      </c>
      <c r="C942" s="1">
        <v>942</v>
      </c>
      <c r="D942" s="1" t="s">
        <v>1880</v>
      </c>
      <c r="E942" s="1" t="s">
        <v>1881</v>
      </c>
    </row>
    <row r="943" spans="1:5" ht="25">
      <c r="A943" s="2">
        <f ca="1">IF(COUNTIF($AA$1:$BXX$24,943) = 0,RAND(),RAND()-1)</f>
        <v>0.96083959053932499</v>
      </c>
      <c r="B943" s="2" t="e">
        <f t="shared" ca="1" si="22"/>
        <v>#N/A</v>
      </c>
      <c r="C943" s="1">
        <v>943</v>
      </c>
      <c r="D943" s="1" t="s">
        <v>1882</v>
      </c>
      <c r="E943" s="1" t="s">
        <v>1883</v>
      </c>
    </row>
    <row r="944" spans="1:5" ht="25">
      <c r="A944" s="2">
        <f ca="1">IF(COUNTIF($AA$1:$BXX$24,944) = 0,RAND(),RAND()-1)</f>
        <v>0.49701853713969424</v>
      </c>
      <c r="B944" s="2" t="e">
        <f t="shared" ca="1" si="22"/>
        <v>#N/A</v>
      </c>
      <c r="C944" s="1">
        <v>944</v>
      </c>
      <c r="D944" s="1" t="s">
        <v>1884</v>
      </c>
      <c r="E944" s="1" t="s">
        <v>1885</v>
      </c>
    </row>
    <row r="945" spans="1:5" ht="25">
      <c r="A945" s="2">
        <f ca="1">IF(COUNTIF($AA$1:$BXX$24,945) = 0,RAND(),RAND()-1)</f>
        <v>0.2683699065044628</v>
      </c>
      <c r="B945" s="2" t="e">
        <f t="shared" ca="1" si="22"/>
        <v>#N/A</v>
      </c>
      <c r="C945" s="1">
        <v>945</v>
      </c>
      <c r="D945" s="1" t="s">
        <v>1886</v>
      </c>
      <c r="E945" s="1" t="s">
        <v>1887</v>
      </c>
    </row>
    <row r="946" spans="1:5" ht="25">
      <c r="A946" s="2">
        <f ca="1">IF(COUNTIF($AA$1:$BXX$24,946) = 0,RAND(),RAND()-1)</f>
        <v>0.56320517386375768</v>
      </c>
      <c r="B946" s="2" t="e">
        <f t="shared" ca="1" si="22"/>
        <v>#N/A</v>
      </c>
      <c r="C946" s="1">
        <v>946</v>
      </c>
      <c r="D946" s="1" t="s">
        <v>1888</v>
      </c>
      <c r="E946" s="1" t="s">
        <v>1889</v>
      </c>
    </row>
    <row r="947" spans="1:5" ht="25">
      <c r="A947" s="2">
        <f ca="1">IF(COUNTIF($AA$1:$BXX$24,947) = 0,RAND(),RAND()-1)</f>
        <v>0.27385314116459458</v>
      </c>
      <c r="B947" s="2" t="e">
        <f t="shared" ca="1" si="22"/>
        <v>#N/A</v>
      </c>
      <c r="C947" s="1">
        <v>947</v>
      </c>
      <c r="D947" s="1" t="s">
        <v>1890</v>
      </c>
      <c r="E947" s="1" t="s">
        <v>1891</v>
      </c>
    </row>
    <row r="948" spans="1:5" ht="25">
      <c r="A948" s="2">
        <f ca="1">IF(COUNTIF($AA$1:$BXX$24,948) = 0,RAND(),RAND()-1)</f>
        <v>0.69445822071000229</v>
      </c>
      <c r="B948" s="2" t="e">
        <f t="shared" ca="1" si="22"/>
        <v>#N/A</v>
      </c>
      <c r="C948" s="1">
        <v>948</v>
      </c>
      <c r="D948" s="1" t="s">
        <v>1892</v>
      </c>
      <c r="E948" s="1" t="s">
        <v>1893</v>
      </c>
    </row>
    <row r="949" spans="1:5" ht="25">
      <c r="A949" s="2">
        <f ca="1">IF(COUNTIF($AA$1:$BXX$24,949) = 0,RAND(),RAND()-1)</f>
        <v>0.37287072140105459</v>
      </c>
      <c r="B949" s="2" t="e">
        <f t="shared" ca="1" si="22"/>
        <v>#N/A</v>
      </c>
      <c r="C949" s="1">
        <v>949</v>
      </c>
      <c r="D949" s="1" t="s">
        <v>1894</v>
      </c>
      <c r="E949" s="1" t="s">
        <v>1895</v>
      </c>
    </row>
    <row r="950" spans="1:5" ht="25">
      <c r="A950" s="2">
        <f ca="1">IF(COUNTIF($AA$1:$BXX$24,950) = 0,RAND(),RAND()-1)</f>
        <v>0.69990156225609024</v>
      </c>
      <c r="B950" s="2" t="e">
        <f t="shared" ca="1" si="22"/>
        <v>#N/A</v>
      </c>
      <c r="C950" s="1">
        <v>950</v>
      </c>
      <c r="D950" s="1" t="s">
        <v>1896</v>
      </c>
      <c r="E950" s="1" t="s">
        <v>1897</v>
      </c>
    </row>
    <row r="951" spans="1:5" ht="25">
      <c r="A951" s="2">
        <f ca="1">IF(COUNTIF($AA$1:$BXX$24,951) = 0,RAND(),RAND()-1)</f>
        <v>0.39669079772500981</v>
      </c>
      <c r="B951" s="2" t="e">
        <f t="shared" ca="1" si="22"/>
        <v>#N/A</v>
      </c>
      <c r="C951" s="1">
        <v>951</v>
      </c>
      <c r="D951" s="1" t="s">
        <v>1898</v>
      </c>
      <c r="E951" s="1" t="s">
        <v>824</v>
      </c>
    </row>
    <row r="952" spans="1:5" ht="25">
      <c r="A952" s="2">
        <f ca="1">IF(COUNTIF($AA$1:$BXX$24,952) = 0,RAND(),RAND()-1)</f>
        <v>5.1642025512321221E-2</v>
      </c>
      <c r="B952" s="2" t="e">
        <f t="shared" ca="1" si="22"/>
        <v>#N/A</v>
      </c>
      <c r="C952" s="1">
        <v>952</v>
      </c>
      <c r="D952" s="1" t="s">
        <v>1899</v>
      </c>
      <c r="E952" s="1" t="s">
        <v>1900</v>
      </c>
    </row>
    <row r="953" spans="1:5" ht="25">
      <c r="A953" s="2">
        <f ca="1">IF(COUNTIF($AA$1:$BXX$24,953) = 0,RAND(),RAND()-1)</f>
        <v>0.88957802863461399</v>
      </c>
      <c r="B953" s="2" t="e">
        <f t="shared" ca="1" si="22"/>
        <v>#N/A</v>
      </c>
      <c r="C953" s="1">
        <v>953</v>
      </c>
      <c r="D953" s="1" t="s">
        <v>1901</v>
      </c>
      <c r="E953" s="1" t="s">
        <v>1902</v>
      </c>
    </row>
    <row r="954" spans="1:5" ht="25">
      <c r="A954" s="2">
        <f ca="1">IF(COUNTIF($AA$1:$BXX$24,954) = 0,RAND(),RAND()-1)</f>
        <v>0.23406525293980462</v>
      </c>
      <c r="B954" s="2" t="e">
        <f t="shared" ca="1" si="22"/>
        <v>#N/A</v>
      </c>
      <c r="C954" s="1">
        <v>954</v>
      </c>
      <c r="D954" s="1" t="s">
        <v>1903</v>
      </c>
      <c r="E954" s="1" t="s">
        <v>1904</v>
      </c>
    </row>
    <row r="955" spans="1:5" ht="25">
      <c r="A955" s="2">
        <f ca="1">IF(COUNTIF($AA$1:$BXX$24,955) = 0,RAND(),RAND()-1)</f>
        <v>0.12832374719736928</v>
      </c>
      <c r="B955" s="2" t="e">
        <f t="shared" ca="1" si="22"/>
        <v>#N/A</v>
      </c>
      <c r="C955" s="1">
        <v>955</v>
      </c>
      <c r="D955" s="1" t="s">
        <v>1905</v>
      </c>
      <c r="E955" s="1" t="s">
        <v>1906</v>
      </c>
    </row>
    <row r="956" spans="1:5" ht="25">
      <c r="A956" s="2">
        <f ca="1">IF(COUNTIF($AA$1:$BXX$24,956) = 0,RAND(),RAND()-1)</f>
        <v>0.86053476267744256</v>
      </c>
      <c r="B956" s="2" t="e">
        <f t="shared" ca="1" si="22"/>
        <v>#N/A</v>
      </c>
      <c r="C956" s="1">
        <v>956</v>
      </c>
      <c r="D956" s="1" t="s">
        <v>1907</v>
      </c>
      <c r="E956" s="1" t="s">
        <v>1908</v>
      </c>
    </row>
    <row r="957" spans="1:5" ht="25">
      <c r="A957" s="2">
        <f ca="1">IF(COUNTIF($AA$1:$BXX$24,957) = 0,RAND(),RAND()-1)</f>
        <v>0.85160705507915246</v>
      </c>
      <c r="B957" s="2" t="e">
        <f t="shared" ca="1" si="22"/>
        <v>#N/A</v>
      </c>
      <c r="C957" s="1">
        <v>957</v>
      </c>
      <c r="D957" s="1" t="s">
        <v>1909</v>
      </c>
      <c r="E957" s="1" t="s">
        <v>1910</v>
      </c>
    </row>
    <row r="958" spans="1:5" ht="25">
      <c r="A958" s="2">
        <f ca="1">IF(COUNTIF($AA$1:$BXX$24,958) = 0,RAND(),RAND()-1)</f>
        <v>0.70869711120024581</v>
      </c>
      <c r="B958" s="2" t="e">
        <f t="shared" ca="1" si="22"/>
        <v>#N/A</v>
      </c>
      <c r="C958" s="1">
        <v>958</v>
      </c>
      <c r="D958" s="1" t="s">
        <v>1911</v>
      </c>
      <c r="E958" s="1" t="s">
        <v>1912</v>
      </c>
    </row>
    <row r="959" spans="1:5" ht="25">
      <c r="A959" s="2">
        <f ca="1">IF(COUNTIF($AA$1:$BXX$24,959) = 0,RAND(),RAND()-1)</f>
        <v>0.74641345196202513</v>
      </c>
      <c r="B959" s="2" t="e">
        <f t="shared" ca="1" si="22"/>
        <v>#N/A</v>
      </c>
      <c r="C959" s="1">
        <v>959</v>
      </c>
      <c r="D959" s="1" t="s">
        <v>1913</v>
      </c>
      <c r="E959" s="1" t="s">
        <v>1914</v>
      </c>
    </row>
    <row r="960" spans="1:5" ht="25">
      <c r="A960" s="2">
        <f ca="1">IF(COUNTIF($AA$1:$BXX$24,960) = 0,RAND(),RAND()-1)</f>
        <v>7.3698515078180482E-2</v>
      </c>
      <c r="B960" s="2" t="e">
        <f t="shared" ca="1" si="22"/>
        <v>#N/A</v>
      </c>
      <c r="C960" s="1">
        <v>960</v>
      </c>
      <c r="D960" s="1" t="s">
        <v>1915</v>
      </c>
      <c r="E960" s="1" t="s">
        <v>1916</v>
      </c>
    </row>
    <row r="961" spans="1:5" ht="25">
      <c r="A961" s="2">
        <f ca="1">IF(COUNTIF($AA$1:$BXX$24,961) = 0,RAND(),RAND()-1)</f>
        <v>0.47804734371097957</v>
      </c>
      <c r="B961" s="2" t="e">
        <f t="shared" ref="B961:B1024" ca="1" si="23">RANK(A961,OFFSET($A$1,$G$1-1,0,$G$2-$G$1+1))</f>
        <v>#N/A</v>
      </c>
      <c r="C961" s="1">
        <v>961</v>
      </c>
      <c r="D961" s="1" t="s">
        <v>1917</v>
      </c>
      <c r="E961" s="1" t="s">
        <v>1918</v>
      </c>
    </row>
    <row r="962" spans="1:5" ht="25">
      <c r="A962" s="2">
        <f ca="1">IF(COUNTIF($AA$1:$BXX$24,962) = 0,RAND(),RAND()-1)</f>
        <v>0.43893906916199632</v>
      </c>
      <c r="B962" s="2" t="e">
        <f t="shared" ca="1" si="23"/>
        <v>#N/A</v>
      </c>
      <c r="C962" s="1">
        <v>962</v>
      </c>
      <c r="D962" s="1" t="s">
        <v>1919</v>
      </c>
      <c r="E962" s="1" t="s">
        <v>1920</v>
      </c>
    </row>
    <row r="963" spans="1:5" ht="25">
      <c r="A963" s="2">
        <f ca="1">IF(COUNTIF($AA$1:$BXX$24,963) = 0,RAND(),RAND()-1)</f>
        <v>0.99179028958188276</v>
      </c>
      <c r="B963" s="2" t="e">
        <f t="shared" ca="1" si="23"/>
        <v>#N/A</v>
      </c>
      <c r="C963" s="1">
        <v>963</v>
      </c>
      <c r="D963" s="1" t="s">
        <v>1921</v>
      </c>
      <c r="E963" s="1" t="s">
        <v>1922</v>
      </c>
    </row>
    <row r="964" spans="1:5" ht="25">
      <c r="A964" s="2">
        <f ca="1">IF(COUNTIF($AA$1:$BXX$24,964) = 0,RAND(),RAND()-1)</f>
        <v>0.78590552980224682</v>
      </c>
      <c r="B964" s="2" t="e">
        <f t="shared" ca="1" si="23"/>
        <v>#N/A</v>
      </c>
      <c r="C964" s="1">
        <v>964</v>
      </c>
      <c r="D964" s="1" t="s">
        <v>1923</v>
      </c>
      <c r="E964" s="1" t="s">
        <v>1924</v>
      </c>
    </row>
    <row r="965" spans="1:5" ht="25">
      <c r="A965" s="2">
        <f ca="1">IF(COUNTIF($AA$1:$BXX$24,965) = 0,RAND(),RAND()-1)</f>
        <v>0.98381355478622012</v>
      </c>
      <c r="B965" s="2" t="e">
        <f t="shared" ca="1" si="23"/>
        <v>#N/A</v>
      </c>
      <c r="C965" s="1">
        <v>965</v>
      </c>
      <c r="D965" s="1" t="s">
        <v>1925</v>
      </c>
      <c r="E965" s="1" t="s">
        <v>1926</v>
      </c>
    </row>
    <row r="966" spans="1:5" ht="25">
      <c r="A966" s="2">
        <f ca="1">IF(COUNTIF($AA$1:$BXX$24,966) = 0,RAND(),RAND()-1)</f>
        <v>0.4675283226526431</v>
      </c>
      <c r="B966" s="2" t="e">
        <f t="shared" ca="1" si="23"/>
        <v>#N/A</v>
      </c>
      <c r="C966" s="1">
        <v>966</v>
      </c>
      <c r="D966" s="1" t="s">
        <v>1927</v>
      </c>
      <c r="E966" s="1" t="s">
        <v>1928</v>
      </c>
    </row>
    <row r="967" spans="1:5" ht="25">
      <c r="A967" s="2">
        <f ca="1">IF(COUNTIF($AA$1:$BXX$24,967) = 0,RAND(),RAND()-1)</f>
        <v>0.81013199245108336</v>
      </c>
      <c r="B967" s="2" t="e">
        <f t="shared" ca="1" si="23"/>
        <v>#N/A</v>
      </c>
      <c r="C967" s="1">
        <v>967</v>
      </c>
      <c r="D967" s="1" t="s">
        <v>1929</v>
      </c>
      <c r="E967" s="1" t="s">
        <v>1930</v>
      </c>
    </row>
    <row r="968" spans="1:5" ht="25">
      <c r="A968" s="2">
        <f ca="1">IF(COUNTIF($AA$1:$BXX$24,968) = 0,RAND(),RAND()-1)</f>
        <v>0.47845349970134532</v>
      </c>
      <c r="B968" s="2" t="e">
        <f t="shared" ca="1" si="23"/>
        <v>#N/A</v>
      </c>
      <c r="C968" s="1">
        <v>968</v>
      </c>
      <c r="D968" s="1" t="s">
        <v>1931</v>
      </c>
      <c r="E968" s="1" t="s">
        <v>1932</v>
      </c>
    </row>
    <row r="969" spans="1:5" ht="25">
      <c r="A969" s="2">
        <f ca="1">IF(COUNTIF($AA$1:$BXX$24,969) = 0,RAND(),RAND()-1)</f>
        <v>0.94771203417739469</v>
      </c>
      <c r="B969" s="2" t="e">
        <f t="shared" ca="1" si="23"/>
        <v>#N/A</v>
      </c>
      <c r="C969" s="1">
        <v>969</v>
      </c>
      <c r="D969" s="1" t="s">
        <v>1933</v>
      </c>
      <c r="E969" s="1" t="s">
        <v>1934</v>
      </c>
    </row>
    <row r="970" spans="1:5" ht="25">
      <c r="A970" s="2">
        <f ca="1">IF(COUNTIF($AA$1:$BXX$24,970) = 0,RAND(),RAND()-1)</f>
        <v>1.5988222277451558E-2</v>
      </c>
      <c r="B970" s="2" t="e">
        <f t="shared" ca="1" si="23"/>
        <v>#N/A</v>
      </c>
      <c r="C970" s="1">
        <v>970</v>
      </c>
      <c r="D970" s="1" t="s">
        <v>1935</v>
      </c>
      <c r="E970" s="1" t="s">
        <v>1936</v>
      </c>
    </row>
    <row r="971" spans="1:5" ht="25">
      <c r="A971" s="2">
        <f ca="1">IF(COUNTIF($AA$1:$BXX$24,971) = 0,RAND(),RAND()-1)</f>
        <v>0.65522197084416678</v>
      </c>
      <c r="B971" s="2" t="e">
        <f t="shared" ca="1" si="23"/>
        <v>#N/A</v>
      </c>
      <c r="C971" s="1">
        <v>971</v>
      </c>
      <c r="D971" s="1" t="s">
        <v>1937</v>
      </c>
      <c r="E971" s="1" t="s">
        <v>1938</v>
      </c>
    </row>
    <row r="972" spans="1:5" ht="25">
      <c r="A972" s="2">
        <f ca="1">IF(COUNTIF($AA$1:$BXX$24,972) = 0,RAND(),RAND()-1)</f>
        <v>0.8673788739149213</v>
      </c>
      <c r="B972" s="2" t="e">
        <f t="shared" ca="1" si="23"/>
        <v>#N/A</v>
      </c>
      <c r="C972" s="1">
        <v>972</v>
      </c>
      <c r="D972" s="1" t="s">
        <v>1939</v>
      </c>
      <c r="E972" s="1" t="s">
        <v>1940</v>
      </c>
    </row>
    <row r="973" spans="1:5" ht="25">
      <c r="A973" s="2">
        <f ca="1">IF(COUNTIF($AA$1:$BXX$24,973) = 0,RAND(),RAND()-1)</f>
        <v>0.20594103722307799</v>
      </c>
      <c r="B973" s="2" t="e">
        <f t="shared" ca="1" si="23"/>
        <v>#N/A</v>
      </c>
      <c r="C973" s="1">
        <v>973</v>
      </c>
      <c r="D973" s="1" t="s">
        <v>1941</v>
      </c>
      <c r="E973" s="1" t="s">
        <v>1942</v>
      </c>
    </row>
    <row r="974" spans="1:5" ht="25">
      <c r="A974" s="2">
        <f ca="1">IF(COUNTIF($AA$1:$BXX$24,974) = 0,RAND(),RAND()-1)</f>
        <v>0.48643485458941038</v>
      </c>
      <c r="B974" s="2" t="e">
        <f t="shared" ca="1" si="23"/>
        <v>#N/A</v>
      </c>
      <c r="C974" s="1">
        <v>974</v>
      </c>
      <c r="D974" s="1" t="s">
        <v>1943</v>
      </c>
      <c r="E974" s="1" t="s">
        <v>1944</v>
      </c>
    </row>
    <row r="975" spans="1:5" ht="25">
      <c r="A975" s="2">
        <f ca="1">IF(COUNTIF($AA$1:$BXX$24,975) = 0,RAND(),RAND()-1)</f>
        <v>6.5755804900868742E-2</v>
      </c>
      <c r="B975" s="2" t="e">
        <f t="shared" ca="1" si="23"/>
        <v>#N/A</v>
      </c>
      <c r="C975" s="1">
        <v>975</v>
      </c>
      <c r="D975" s="1" t="s">
        <v>1945</v>
      </c>
      <c r="E975" s="1" t="s">
        <v>1946</v>
      </c>
    </row>
    <row r="976" spans="1:5" ht="25">
      <c r="A976" s="2">
        <f ca="1">IF(COUNTIF($AA$1:$BXX$24,976) = 0,RAND(),RAND()-1)</f>
        <v>0.87446086254560373</v>
      </c>
      <c r="B976" s="2" t="e">
        <f t="shared" ca="1" si="23"/>
        <v>#N/A</v>
      </c>
      <c r="C976" s="1">
        <v>976</v>
      </c>
      <c r="D976" s="1" t="s">
        <v>1947</v>
      </c>
      <c r="E976" s="1" t="s">
        <v>1948</v>
      </c>
    </row>
    <row r="977" spans="1:5" ht="25">
      <c r="A977" s="2">
        <f ca="1">IF(COUNTIF($AA$1:$BXX$24,977) = 0,RAND(),RAND()-1)</f>
        <v>9.1669664733030842E-2</v>
      </c>
      <c r="B977" s="2" t="e">
        <f t="shared" ca="1" si="23"/>
        <v>#N/A</v>
      </c>
      <c r="C977" s="1">
        <v>977</v>
      </c>
      <c r="D977" s="1" t="s">
        <v>1949</v>
      </c>
      <c r="E977" s="1" t="s">
        <v>1950</v>
      </c>
    </row>
    <row r="978" spans="1:5" ht="25">
      <c r="A978" s="2">
        <f ca="1">IF(COUNTIF($AA$1:$BXX$24,978) = 0,RAND(),RAND()-1)</f>
        <v>0.41243127803388591</v>
      </c>
      <c r="B978" s="2" t="e">
        <f t="shared" ca="1" si="23"/>
        <v>#N/A</v>
      </c>
      <c r="C978" s="1">
        <v>978</v>
      </c>
      <c r="D978" s="1" t="s">
        <v>1951</v>
      </c>
      <c r="E978" s="1" t="s">
        <v>1952</v>
      </c>
    </row>
    <row r="979" spans="1:5" ht="25">
      <c r="A979" s="2">
        <f ca="1">IF(COUNTIF($AA$1:$BXX$24,979) = 0,RAND(),RAND()-1)</f>
        <v>0.22005006001896854</v>
      </c>
      <c r="B979" s="2" t="e">
        <f t="shared" ca="1" si="23"/>
        <v>#N/A</v>
      </c>
      <c r="C979" s="1">
        <v>979</v>
      </c>
      <c r="D979" s="1" t="s">
        <v>1953</v>
      </c>
      <c r="E979" s="1" t="s">
        <v>1954</v>
      </c>
    </row>
    <row r="980" spans="1:5" ht="25">
      <c r="A980" s="2">
        <f ca="1">IF(COUNTIF($AA$1:$BXX$24,980) = 0,RAND(),RAND()-1)</f>
        <v>0.65752374576003325</v>
      </c>
      <c r="B980" s="2" t="e">
        <f t="shared" ca="1" si="23"/>
        <v>#N/A</v>
      </c>
      <c r="C980" s="1">
        <v>980</v>
      </c>
      <c r="D980" s="1" t="s">
        <v>1955</v>
      </c>
      <c r="E980" s="1" t="s">
        <v>1956</v>
      </c>
    </row>
    <row r="981" spans="1:5" ht="25">
      <c r="A981" s="2">
        <f ca="1">IF(COUNTIF($AA$1:$BXX$24,981) = 0,RAND(),RAND()-1)</f>
        <v>0.70432561985611419</v>
      </c>
      <c r="B981" s="2" t="e">
        <f t="shared" ca="1" si="23"/>
        <v>#N/A</v>
      </c>
      <c r="C981" s="1">
        <v>981</v>
      </c>
      <c r="D981" s="1" t="s">
        <v>1957</v>
      </c>
      <c r="E981" s="1" t="s">
        <v>1958</v>
      </c>
    </row>
    <row r="982" spans="1:5" ht="25">
      <c r="A982" s="2">
        <f ca="1">IF(COUNTIF($AA$1:$BXX$24,982) = 0,RAND(),RAND()-1)</f>
        <v>0.7251368727627856</v>
      </c>
      <c r="B982" s="2" t="e">
        <f t="shared" ca="1" si="23"/>
        <v>#N/A</v>
      </c>
      <c r="C982" s="1">
        <v>982</v>
      </c>
      <c r="D982" s="1" t="s">
        <v>1959</v>
      </c>
      <c r="E982" s="1" t="s">
        <v>1960</v>
      </c>
    </row>
    <row r="983" spans="1:5" ht="25">
      <c r="A983" s="2">
        <f ca="1">IF(COUNTIF($AA$1:$BXX$24,983) = 0,RAND(),RAND()-1)</f>
        <v>0.90912100500943716</v>
      </c>
      <c r="B983" s="2" t="e">
        <f t="shared" ca="1" si="23"/>
        <v>#N/A</v>
      </c>
      <c r="C983" s="1">
        <v>983</v>
      </c>
      <c r="D983" s="1" t="s">
        <v>1961</v>
      </c>
      <c r="E983" s="1" t="s">
        <v>1962</v>
      </c>
    </row>
    <row r="984" spans="1:5" ht="25">
      <c r="A984" s="2">
        <f ca="1">IF(COUNTIF($AA$1:$BXX$24,984) = 0,RAND(),RAND()-1)</f>
        <v>0.25993411790231458</v>
      </c>
      <c r="B984" s="2" t="e">
        <f t="shared" ca="1" si="23"/>
        <v>#N/A</v>
      </c>
      <c r="C984" s="1">
        <v>984</v>
      </c>
      <c r="D984" s="1" t="s">
        <v>1963</v>
      </c>
      <c r="E984" s="1" t="s">
        <v>1964</v>
      </c>
    </row>
    <row r="985" spans="1:5" ht="25">
      <c r="A985" s="2">
        <f ca="1">IF(COUNTIF($AA$1:$BXX$24,985) = 0,RAND(),RAND()-1)</f>
        <v>0.82786260995550709</v>
      </c>
      <c r="B985" s="2" t="e">
        <f t="shared" ca="1" si="23"/>
        <v>#N/A</v>
      </c>
      <c r="C985" s="1">
        <v>985</v>
      </c>
      <c r="D985" s="1" t="s">
        <v>1965</v>
      </c>
      <c r="E985" s="1" t="s">
        <v>1966</v>
      </c>
    </row>
    <row r="986" spans="1:5" ht="25">
      <c r="A986" s="2">
        <f ca="1">IF(COUNTIF($AA$1:$BXX$24,986) = 0,RAND(),RAND()-1)</f>
        <v>0.88268739433756105</v>
      </c>
      <c r="B986" s="2" t="e">
        <f t="shared" ca="1" si="23"/>
        <v>#N/A</v>
      </c>
      <c r="C986" s="1">
        <v>986</v>
      </c>
      <c r="D986" s="1" t="s">
        <v>1967</v>
      </c>
      <c r="E986" s="1" t="s">
        <v>1968</v>
      </c>
    </row>
    <row r="987" spans="1:5" ht="25">
      <c r="A987" s="2">
        <f ca="1">IF(COUNTIF($AA$1:$BXX$24,987) = 0,RAND(),RAND()-1)</f>
        <v>0.90239562381883931</v>
      </c>
      <c r="B987" s="2" t="e">
        <f t="shared" ca="1" si="23"/>
        <v>#N/A</v>
      </c>
      <c r="C987" s="1">
        <v>987</v>
      </c>
      <c r="D987" s="1" t="s">
        <v>1969</v>
      </c>
      <c r="E987" s="1" t="s">
        <v>1970</v>
      </c>
    </row>
    <row r="988" spans="1:5" ht="25">
      <c r="A988" s="2">
        <f ca="1">IF(COUNTIF($AA$1:$BXX$24,988) = 0,RAND(),RAND()-1)</f>
        <v>0.57402196574739639</v>
      </c>
      <c r="B988" s="2" t="e">
        <f t="shared" ca="1" si="23"/>
        <v>#N/A</v>
      </c>
      <c r="C988" s="1">
        <v>988</v>
      </c>
      <c r="D988" s="1" t="s">
        <v>1971</v>
      </c>
      <c r="E988" s="1" t="s">
        <v>1972</v>
      </c>
    </row>
    <row r="989" spans="1:5" ht="25">
      <c r="A989" s="2">
        <f ca="1">IF(COUNTIF($AA$1:$BXX$24,989) = 0,RAND(),RAND()-1)</f>
        <v>0.57614102987844873</v>
      </c>
      <c r="B989" s="2" t="e">
        <f t="shared" ca="1" si="23"/>
        <v>#N/A</v>
      </c>
      <c r="C989" s="1">
        <v>989</v>
      </c>
      <c r="D989" s="1" t="s">
        <v>1973</v>
      </c>
      <c r="E989" s="1" t="s">
        <v>1974</v>
      </c>
    </row>
    <row r="990" spans="1:5" ht="25">
      <c r="A990" s="2">
        <f ca="1">IF(COUNTIF($AA$1:$BXX$24,990) = 0,RAND(),RAND()-1)</f>
        <v>0.96482363823839801</v>
      </c>
      <c r="B990" s="2" t="e">
        <f t="shared" ca="1" si="23"/>
        <v>#N/A</v>
      </c>
      <c r="C990" s="1">
        <v>990</v>
      </c>
      <c r="D990" s="1" t="s">
        <v>1975</v>
      </c>
      <c r="E990" s="1" t="s">
        <v>1976</v>
      </c>
    </row>
    <row r="991" spans="1:5" ht="25">
      <c r="A991" s="2">
        <f ca="1">IF(COUNTIF($AA$1:$BXX$24,991) = 0,RAND(),RAND()-1)</f>
        <v>0.69394075366512531</v>
      </c>
      <c r="B991" s="2" t="e">
        <f t="shared" ca="1" si="23"/>
        <v>#N/A</v>
      </c>
      <c r="C991" s="1">
        <v>991</v>
      </c>
      <c r="D991" s="1" t="s">
        <v>1977</v>
      </c>
      <c r="E991" s="1" t="s">
        <v>1978</v>
      </c>
    </row>
    <row r="992" spans="1:5" ht="25">
      <c r="A992" s="2">
        <f ca="1">IF(COUNTIF($AA$1:$BXX$24,992) = 0,RAND(),RAND()-1)</f>
        <v>6.6700273711773672E-2</v>
      </c>
      <c r="B992" s="2" t="e">
        <f t="shared" ca="1" si="23"/>
        <v>#N/A</v>
      </c>
      <c r="C992" s="1">
        <v>992</v>
      </c>
      <c r="D992" s="1" t="s">
        <v>1979</v>
      </c>
      <c r="E992" s="1" t="s">
        <v>1980</v>
      </c>
    </row>
    <row r="993" spans="1:5" ht="25">
      <c r="A993" s="2">
        <f ca="1">IF(COUNTIF($AA$1:$BXX$24,993) = 0,RAND(),RAND()-1)</f>
        <v>0.52879593974047812</v>
      </c>
      <c r="B993" s="2" t="e">
        <f t="shared" ca="1" si="23"/>
        <v>#N/A</v>
      </c>
      <c r="C993" s="1">
        <v>993</v>
      </c>
      <c r="D993" s="1" t="s">
        <v>1981</v>
      </c>
      <c r="E993" s="1" t="s">
        <v>1982</v>
      </c>
    </row>
    <row r="994" spans="1:5" ht="25">
      <c r="A994" s="2">
        <f ca="1">IF(COUNTIF($AA$1:$BXX$24,994) = 0,RAND(),RAND()-1)</f>
        <v>0.30484427228343924</v>
      </c>
      <c r="B994" s="2" t="e">
        <f t="shared" ca="1" si="23"/>
        <v>#N/A</v>
      </c>
      <c r="C994" s="1">
        <v>994</v>
      </c>
      <c r="D994" s="1" t="s">
        <v>1983</v>
      </c>
      <c r="E994" s="1" t="s">
        <v>1984</v>
      </c>
    </row>
    <row r="995" spans="1:5" ht="25">
      <c r="A995" s="2">
        <f ca="1">IF(COUNTIF($AA$1:$BXX$24,995) = 0,RAND(),RAND()-1)</f>
        <v>0.50871915520471012</v>
      </c>
      <c r="B995" s="2" t="e">
        <f t="shared" ca="1" si="23"/>
        <v>#N/A</v>
      </c>
      <c r="C995" s="1">
        <v>995</v>
      </c>
      <c r="D995" s="1" t="s">
        <v>1985</v>
      </c>
      <c r="E995" s="1" t="s">
        <v>1986</v>
      </c>
    </row>
    <row r="996" spans="1:5" ht="25">
      <c r="A996" s="2">
        <f ca="1">IF(COUNTIF($AA$1:$BXX$24,996) = 0,RAND(),RAND()-1)</f>
        <v>0.10866556342964251</v>
      </c>
      <c r="B996" s="2" t="e">
        <f t="shared" ca="1" si="23"/>
        <v>#N/A</v>
      </c>
      <c r="C996" s="1">
        <v>996</v>
      </c>
      <c r="D996" s="1" t="s">
        <v>1987</v>
      </c>
      <c r="E996" s="1" t="s">
        <v>1988</v>
      </c>
    </row>
    <row r="997" spans="1:5" ht="25">
      <c r="A997" s="2">
        <f ca="1">IF(COUNTIF($AA$1:$BXX$24,997) = 0,RAND(),RAND()-1)</f>
        <v>8.1348923793655659E-2</v>
      </c>
      <c r="B997" s="2" t="e">
        <f t="shared" ca="1" si="23"/>
        <v>#N/A</v>
      </c>
      <c r="C997" s="1">
        <v>997</v>
      </c>
      <c r="D997" s="1" t="s">
        <v>1989</v>
      </c>
      <c r="E997" s="1" t="s">
        <v>1990</v>
      </c>
    </row>
    <row r="998" spans="1:5" ht="25">
      <c r="A998" s="2">
        <f ca="1">IF(COUNTIF($AA$1:$BXX$24,998) = 0,RAND(),RAND()-1)</f>
        <v>0.38056303324615304</v>
      </c>
      <c r="B998" s="2" t="e">
        <f t="shared" ca="1" si="23"/>
        <v>#N/A</v>
      </c>
      <c r="C998" s="1">
        <v>998</v>
      </c>
      <c r="D998" s="1" t="s">
        <v>1991</v>
      </c>
      <c r="E998" s="1" t="s">
        <v>1992</v>
      </c>
    </row>
    <row r="999" spans="1:5" ht="25">
      <c r="A999" s="2">
        <f ca="1">IF(COUNTIF($AA$1:$BXX$24,999) = 0,RAND(),RAND()-1)</f>
        <v>0.76561120348526246</v>
      </c>
      <c r="B999" s="2" t="e">
        <f t="shared" ca="1" si="23"/>
        <v>#N/A</v>
      </c>
      <c r="C999" s="1">
        <v>999</v>
      </c>
      <c r="D999" s="1" t="s">
        <v>1993</v>
      </c>
      <c r="E999" s="1" t="s">
        <v>1994</v>
      </c>
    </row>
    <row r="1000" spans="1:5" ht="25">
      <c r="A1000" s="2">
        <f ca="1">IF(COUNTIF($AA$1:$BXX$24,1000) = 0,RAND(),RAND()-1)</f>
        <v>0.63155474931169542</v>
      </c>
      <c r="B1000" s="2" t="e">
        <f t="shared" ca="1" si="23"/>
        <v>#N/A</v>
      </c>
      <c r="C1000" s="1">
        <v>1000</v>
      </c>
      <c r="D1000" s="1" t="s">
        <v>1995</v>
      </c>
      <c r="E1000" s="1" t="s">
        <v>1996</v>
      </c>
    </row>
    <row r="1001" spans="1:5" ht="25">
      <c r="A1001" s="2">
        <f ca="1">IF(COUNTIF($AA$1:$BXX$24,1001) = 0,RAND(),RAND()-1)</f>
        <v>0.69285687923692385</v>
      </c>
      <c r="B1001" s="2" t="e">
        <f t="shared" ca="1" si="23"/>
        <v>#N/A</v>
      </c>
      <c r="C1001" s="1">
        <v>1001</v>
      </c>
      <c r="D1001" s="1" t="s">
        <v>1997</v>
      </c>
      <c r="E1001" s="1" t="s">
        <v>1998</v>
      </c>
    </row>
    <row r="1002" spans="1:5" ht="25">
      <c r="A1002" s="2">
        <f ca="1">IF(COUNTIF($AA$1:$BXX$24,1002) = 0,RAND(),RAND()-1)</f>
        <v>0.49088794784533918</v>
      </c>
      <c r="B1002" s="2" t="e">
        <f t="shared" ca="1" si="23"/>
        <v>#N/A</v>
      </c>
      <c r="C1002" s="1">
        <v>1002</v>
      </c>
      <c r="D1002" s="1" t="s">
        <v>1999</v>
      </c>
      <c r="E1002" s="1" t="s">
        <v>1581</v>
      </c>
    </row>
    <row r="1003" spans="1:5" ht="25">
      <c r="A1003" s="2">
        <f ca="1">IF(COUNTIF($AA$1:$BXX$24,1003) = 0,RAND(),RAND()-1)</f>
        <v>6.3778744415881938E-2</v>
      </c>
      <c r="B1003" s="2" t="e">
        <f t="shared" ca="1" si="23"/>
        <v>#N/A</v>
      </c>
      <c r="C1003" s="1">
        <v>1003</v>
      </c>
      <c r="D1003" s="1" t="s">
        <v>2000</v>
      </c>
      <c r="E1003" s="1" t="s">
        <v>2001</v>
      </c>
    </row>
    <row r="1004" spans="1:5" ht="25">
      <c r="A1004" s="2">
        <f ca="1">IF(COUNTIF($AA$1:$BXX$24,1004) = 0,RAND(),RAND()-1)</f>
        <v>7.1822076131454082E-2</v>
      </c>
      <c r="B1004" s="2" t="e">
        <f t="shared" ca="1" si="23"/>
        <v>#N/A</v>
      </c>
      <c r="C1004" s="1">
        <v>1004</v>
      </c>
      <c r="D1004" s="1" t="s">
        <v>2002</v>
      </c>
      <c r="E1004" s="1" t="s">
        <v>2003</v>
      </c>
    </row>
    <row r="1005" spans="1:5" ht="25">
      <c r="A1005" s="2">
        <f ca="1">IF(COUNTIF($AA$1:$BXX$24,1005) = 0,RAND(),RAND()-1)</f>
        <v>0.13547484156693657</v>
      </c>
      <c r="B1005" s="2" t="e">
        <f t="shared" ca="1" si="23"/>
        <v>#N/A</v>
      </c>
      <c r="C1005" s="1">
        <v>1005</v>
      </c>
      <c r="D1005" s="1" t="s">
        <v>2004</v>
      </c>
      <c r="E1005" s="1" t="s">
        <v>2005</v>
      </c>
    </row>
    <row r="1006" spans="1:5" ht="25">
      <c r="A1006" s="2">
        <f ca="1">IF(COUNTIF($AA$1:$BXX$24,1006) = 0,RAND(),RAND()-1)</f>
        <v>0.69945718858590833</v>
      </c>
      <c r="B1006" s="2" t="e">
        <f t="shared" ca="1" si="23"/>
        <v>#N/A</v>
      </c>
      <c r="C1006" s="1">
        <v>1006</v>
      </c>
      <c r="D1006" s="1" t="s">
        <v>2006</v>
      </c>
      <c r="E1006" s="1" t="s">
        <v>2007</v>
      </c>
    </row>
    <row r="1007" spans="1:5" ht="25">
      <c r="A1007" s="2">
        <f ca="1">IF(COUNTIF($AA$1:$BXX$24,1007) = 0,RAND(),RAND()-1)</f>
        <v>0.59724760335223248</v>
      </c>
      <c r="B1007" s="2" t="e">
        <f t="shared" ca="1" si="23"/>
        <v>#N/A</v>
      </c>
      <c r="C1007" s="1">
        <v>1007</v>
      </c>
      <c r="D1007" s="1" t="s">
        <v>2008</v>
      </c>
      <c r="E1007" s="1" t="s">
        <v>2009</v>
      </c>
    </row>
    <row r="1008" spans="1:5" ht="25">
      <c r="A1008" s="2">
        <f ca="1">IF(COUNTIF($AA$1:$BXX$24,1008) = 0,RAND(),RAND()-1)</f>
        <v>0.18510448125565393</v>
      </c>
      <c r="B1008" s="2" t="e">
        <f t="shared" ca="1" si="23"/>
        <v>#N/A</v>
      </c>
      <c r="C1008" s="1">
        <v>1008</v>
      </c>
      <c r="D1008" s="1" t="s">
        <v>2010</v>
      </c>
      <c r="E1008" s="1" t="s">
        <v>2011</v>
      </c>
    </row>
    <row r="1009" spans="1:5" ht="25">
      <c r="A1009" s="2">
        <f ca="1">IF(COUNTIF($AA$1:$BXX$24,1009) = 0,RAND(),RAND()-1)</f>
        <v>0.33631883861537859</v>
      </c>
      <c r="B1009" s="2" t="e">
        <f t="shared" ca="1" si="23"/>
        <v>#N/A</v>
      </c>
      <c r="C1009" s="1">
        <v>1009</v>
      </c>
      <c r="D1009" s="1" t="s">
        <v>2012</v>
      </c>
      <c r="E1009" s="1" t="s">
        <v>2013</v>
      </c>
    </row>
    <row r="1010" spans="1:5" ht="25">
      <c r="A1010" s="2">
        <f ca="1">IF(COUNTIF($AA$1:$BXX$24,1010) = 0,RAND(),RAND()-1)</f>
        <v>0.22146664812869121</v>
      </c>
      <c r="B1010" s="2" t="e">
        <f t="shared" ca="1" si="23"/>
        <v>#N/A</v>
      </c>
      <c r="C1010" s="1">
        <v>1010</v>
      </c>
      <c r="D1010" s="1" t="s">
        <v>2014</v>
      </c>
      <c r="E1010" s="1" t="s">
        <v>2015</v>
      </c>
    </row>
    <row r="1011" spans="1:5" ht="25">
      <c r="A1011" s="2">
        <f ca="1">IF(COUNTIF($AA$1:$BXX$24,1011) = 0,RAND(),RAND()-1)</f>
        <v>0.73230061086643217</v>
      </c>
      <c r="B1011" s="2" t="e">
        <f t="shared" ca="1" si="23"/>
        <v>#N/A</v>
      </c>
      <c r="C1011" s="1">
        <v>1011</v>
      </c>
      <c r="D1011" s="1" t="s">
        <v>2016</v>
      </c>
      <c r="E1011" s="1" t="s">
        <v>2017</v>
      </c>
    </row>
    <row r="1012" spans="1:5" ht="25">
      <c r="A1012" s="2">
        <f ca="1">IF(COUNTIF($AA$1:$BXX$24,1012) = 0,RAND(),RAND()-1)</f>
        <v>0.28126944448298175</v>
      </c>
      <c r="B1012" s="2" t="e">
        <f t="shared" ca="1" si="23"/>
        <v>#N/A</v>
      </c>
      <c r="C1012" s="1">
        <v>1012</v>
      </c>
      <c r="D1012" s="1" t="s">
        <v>2018</v>
      </c>
      <c r="E1012" s="1" t="s">
        <v>2019</v>
      </c>
    </row>
    <row r="1013" spans="1:5" ht="25">
      <c r="A1013" s="2">
        <f ca="1">IF(COUNTIF($AA$1:$BXX$24,1013) = 0,RAND(),RAND()-1)</f>
        <v>0.33030514520453269</v>
      </c>
      <c r="B1013" s="2" t="e">
        <f t="shared" ca="1" si="23"/>
        <v>#N/A</v>
      </c>
      <c r="C1013" s="1">
        <v>1013</v>
      </c>
      <c r="D1013" s="1" t="s">
        <v>2020</v>
      </c>
      <c r="E1013" s="1" t="s">
        <v>441</v>
      </c>
    </row>
    <row r="1014" spans="1:5" ht="25">
      <c r="A1014" s="2">
        <f ca="1">IF(COUNTIF($AA$1:$BXX$24,1014) = 0,RAND(),RAND()-1)</f>
        <v>0.43955493060926798</v>
      </c>
      <c r="B1014" s="2" t="e">
        <f t="shared" ca="1" si="23"/>
        <v>#N/A</v>
      </c>
      <c r="C1014" s="1">
        <v>1014</v>
      </c>
      <c r="D1014" s="1" t="s">
        <v>2021</v>
      </c>
      <c r="E1014" s="1" t="s">
        <v>2022</v>
      </c>
    </row>
    <row r="1015" spans="1:5" ht="25">
      <c r="A1015" s="2">
        <f ca="1">IF(COUNTIF($AA$1:$BXX$24,1015) = 0,RAND(),RAND()-1)</f>
        <v>0.96375853894231323</v>
      </c>
      <c r="B1015" s="2" t="e">
        <f t="shared" ca="1" si="23"/>
        <v>#N/A</v>
      </c>
      <c r="C1015" s="1">
        <v>1015</v>
      </c>
      <c r="D1015" s="1" t="s">
        <v>2023</v>
      </c>
      <c r="E1015" s="1" t="s">
        <v>451</v>
      </c>
    </row>
    <row r="1016" spans="1:5" ht="25">
      <c r="A1016" s="2">
        <f ca="1">IF(COUNTIF($AA$1:$BXX$24,1016) = 0,RAND(),RAND()-1)</f>
        <v>0.93381147296006994</v>
      </c>
      <c r="B1016" s="2" t="e">
        <f t="shared" ca="1" si="23"/>
        <v>#N/A</v>
      </c>
      <c r="C1016" s="1">
        <v>1016</v>
      </c>
      <c r="D1016" s="1" t="s">
        <v>2024</v>
      </c>
      <c r="E1016" s="1" t="s">
        <v>2025</v>
      </c>
    </row>
    <row r="1017" spans="1:5" ht="25">
      <c r="A1017" s="2">
        <f ca="1">IF(COUNTIF($AA$1:$BXX$24,1017) = 0,RAND(),RAND()-1)</f>
        <v>0.34930913460595892</v>
      </c>
      <c r="B1017" s="2" t="e">
        <f t="shared" ca="1" si="23"/>
        <v>#N/A</v>
      </c>
      <c r="C1017" s="1">
        <v>1017</v>
      </c>
      <c r="D1017" s="1" t="s">
        <v>2026</v>
      </c>
      <c r="E1017" s="1" t="s">
        <v>2027</v>
      </c>
    </row>
    <row r="1018" spans="1:5" ht="25">
      <c r="A1018" s="2">
        <f ca="1">IF(COUNTIF($AA$1:$BXX$24,1018) = 0,RAND(),RAND()-1)</f>
        <v>5.9526677173601605E-2</v>
      </c>
      <c r="B1018" s="2" t="e">
        <f t="shared" ca="1" si="23"/>
        <v>#N/A</v>
      </c>
      <c r="C1018" s="1">
        <v>1018</v>
      </c>
      <c r="D1018" s="1" t="s">
        <v>2028</v>
      </c>
      <c r="E1018" s="1" t="s">
        <v>2029</v>
      </c>
    </row>
    <row r="1019" spans="1:5" ht="25">
      <c r="A1019" s="2">
        <f ca="1">IF(COUNTIF($AA$1:$BXX$24,1019) = 0,RAND(),RAND()-1)</f>
        <v>0.46514109314593544</v>
      </c>
      <c r="B1019" s="2" t="e">
        <f t="shared" ca="1" si="23"/>
        <v>#N/A</v>
      </c>
      <c r="C1019" s="1">
        <v>1019</v>
      </c>
      <c r="D1019" s="1" t="s">
        <v>2030</v>
      </c>
      <c r="E1019" s="1" t="s">
        <v>2031</v>
      </c>
    </row>
    <row r="1020" spans="1:5" ht="25">
      <c r="A1020" s="2">
        <f ca="1">IF(COUNTIF($AA$1:$BXX$24,1020) = 0,RAND(),RAND()-1)</f>
        <v>6.9517724164788852E-2</v>
      </c>
      <c r="B1020" s="2" t="e">
        <f t="shared" ca="1" si="23"/>
        <v>#N/A</v>
      </c>
      <c r="C1020" s="1">
        <v>1020</v>
      </c>
      <c r="D1020" s="1" t="s">
        <v>2032</v>
      </c>
      <c r="E1020" s="1" t="s">
        <v>2033</v>
      </c>
    </row>
    <row r="1021" spans="1:5" ht="25">
      <c r="A1021" s="2">
        <f ca="1">IF(COUNTIF($AA$1:$BXX$24,1021) = 0,RAND(),RAND()-1)</f>
        <v>0.63522774386282677</v>
      </c>
      <c r="B1021" s="2" t="e">
        <f t="shared" ca="1" si="23"/>
        <v>#N/A</v>
      </c>
      <c r="C1021" s="1">
        <v>1021</v>
      </c>
      <c r="D1021" s="1" t="s">
        <v>2034</v>
      </c>
      <c r="E1021" s="1" t="s">
        <v>2035</v>
      </c>
    </row>
    <row r="1022" spans="1:5" ht="25">
      <c r="A1022" s="2">
        <f ca="1">IF(COUNTIF($AA$1:$BXX$24,1022) = 0,RAND(),RAND()-1)</f>
        <v>0.15260871207974158</v>
      </c>
      <c r="B1022" s="2" t="e">
        <f t="shared" ca="1" si="23"/>
        <v>#N/A</v>
      </c>
      <c r="C1022" s="1">
        <v>1022</v>
      </c>
      <c r="D1022" s="1" t="s">
        <v>2036</v>
      </c>
      <c r="E1022" s="1" t="s">
        <v>2037</v>
      </c>
    </row>
    <row r="1023" spans="1:5" ht="25">
      <c r="A1023" s="2">
        <f ca="1">IF(COUNTIF($AA$1:$BXX$24,1023) = 0,RAND(),RAND()-1)</f>
        <v>0.54924313916896106</v>
      </c>
      <c r="B1023" s="2" t="e">
        <f t="shared" ca="1" si="23"/>
        <v>#N/A</v>
      </c>
      <c r="C1023" s="1">
        <v>1023</v>
      </c>
      <c r="D1023" s="1" t="s">
        <v>2038</v>
      </c>
      <c r="E1023" s="1" t="s">
        <v>2039</v>
      </c>
    </row>
    <row r="1024" spans="1:5" ht="25">
      <c r="A1024" s="2">
        <f ca="1">IF(COUNTIF($AA$1:$BXX$24,1024) = 0,RAND(),RAND()-1)</f>
        <v>0.62839592929836285</v>
      </c>
      <c r="B1024" s="2" t="e">
        <f t="shared" ca="1" si="23"/>
        <v>#N/A</v>
      </c>
      <c r="C1024" s="1">
        <v>1024</v>
      </c>
      <c r="D1024" s="1" t="s">
        <v>2040</v>
      </c>
      <c r="E1024" s="1" t="s">
        <v>2041</v>
      </c>
    </row>
    <row r="1025" spans="1:5" ht="25">
      <c r="A1025" s="2">
        <f ca="1">IF(COUNTIF($AA$1:$BXX$24,1025) = 0,RAND(),RAND()-1)</f>
        <v>0.508685775008059</v>
      </c>
      <c r="B1025" s="2" t="e">
        <f t="shared" ref="B1025:B1088" ca="1" si="24">RANK(A1025,OFFSET($A$1,$G$1-1,0,$G$2-$G$1+1))</f>
        <v>#N/A</v>
      </c>
      <c r="C1025" s="1">
        <v>1025</v>
      </c>
      <c r="D1025" s="1" t="s">
        <v>2042</v>
      </c>
      <c r="E1025" s="1" t="s">
        <v>2043</v>
      </c>
    </row>
    <row r="1026" spans="1:5" ht="25">
      <c r="A1026" s="2">
        <f ca="1">IF(COUNTIF($AA$1:$BXX$24,1026) = 0,RAND(),RAND()-1)</f>
        <v>0.68593043134443465</v>
      </c>
      <c r="B1026" s="2" t="e">
        <f t="shared" ca="1" si="24"/>
        <v>#N/A</v>
      </c>
      <c r="C1026" s="1">
        <v>1026</v>
      </c>
      <c r="D1026" s="1" t="s">
        <v>2044</v>
      </c>
      <c r="E1026" s="1" t="s">
        <v>2045</v>
      </c>
    </row>
    <row r="1027" spans="1:5" ht="25">
      <c r="A1027" s="2">
        <f ca="1">IF(COUNTIF($AA$1:$BXX$24,1027) = 0,RAND(),RAND()-1)</f>
        <v>0.899815870327072</v>
      </c>
      <c r="B1027" s="2" t="e">
        <f t="shared" ca="1" si="24"/>
        <v>#N/A</v>
      </c>
      <c r="C1027" s="1">
        <v>1027</v>
      </c>
      <c r="D1027" s="1" t="s">
        <v>2046</v>
      </c>
      <c r="E1027" s="1" t="s">
        <v>2047</v>
      </c>
    </row>
    <row r="1028" spans="1:5" ht="25">
      <c r="A1028" s="2">
        <f ca="1">IF(COUNTIF($AA$1:$BXX$24,1028) = 0,RAND(),RAND()-1)</f>
        <v>0.63024689924782973</v>
      </c>
      <c r="B1028" s="2" t="e">
        <f t="shared" ca="1" si="24"/>
        <v>#N/A</v>
      </c>
      <c r="C1028" s="1">
        <v>1028</v>
      </c>
      <c r="D1028" s="1" t="s">
        <v>2048</v>
      </c>
      <c r="E1028" s="1" t="s">
        <v>2049</v>
      </c>
    </row>
    <row r="1029" spans="1:5" ht="25">
      <c r="A1029" s="2">
        <f ca="1">IF(COUNTIF($AA$1:$BXX$24,1029) = 0,RAND(),RAND()-1)</f>
        <v>0.25782750099137564</v>
      </c>
      <c r="B1029" s="2" t="e">
        <f t="shared" ca="1" si="24"/>
        <v>#N/A</v>
      </c>
      <c r="C1029" s="1">
        <v>1029</v>
      </c>
      <c r="D1029" s="1" t="s">
        <v>2050</v>
      </c>
      <c r="E1029" s="1" t="s">
        <v>2051</v>
      </c>
    </row>
    <row r="1030" spans="1:5" ht="25">
      <c r="A1030" s="2">
        <f ca="1">IF(COUNTIF($AA$1:$BXX$24,1030) = 0,RAND(),RAND()-1)</f>
        <v>0.50422309817592081</v>
      </c>
      <c r="B1030" s="2" t="e">
        <f t="shared" ca="1" si="24"/>
        <v>#N/A</v>
      </c>
      <c r="C1030" s="1">
        <v>1030</v>
      </c>
      <c r="D1030" s="1" t="s">
        <v>2052</v>
      </c>
      <c r="E1030" s="1" t="s">
        <v>2053</v>
      </c>
    </row>
    <row r="1031" spans="1:5" ht="25">
      <c r="A1031" s="2">
        <f ca="1">IF(COUNTIF($AA$1:$BXX$24,1031) = 0,RAND(),RAND()-1)</f>
        <v>0.56088220806737421</v>
      </c>
      <c r="B1031" s="2" t="e">
        <f t="shared" ca="1" si="24"/>
        <v>#N/A</v>
      </c>
      <c r="C1031" s="1">
        <v>1031</v>
      </c>
      <c r="D1031" s="1" t="s">
        <v>2054</v>
      </c>
      <c r="E1031" s="1" t="s">
        <v>2055</v>
      </c>
    </row>
    <row r="1032" spans="1:5" ht="25">
      <c r="A1032" s="2">
        <f ca="1">IF(COUNTIF($AA$1:$BXX$24,1032) = 0,RAND(),RAND()-1)</f>
        <v>0.1665189832645898</v>
      </c>
      <c r="B1032" s="2" t="e">
        <f t="shared" ca="1" si="24"/>
        <v>#N/A</v>
      </c>
      <c r="C1032" s="1">
        <v>1032</v>
      </c>
      <c r="D1032" s="1" t="s">
        <v>2056</v>
      </c>
      <c r="E1032" s="1" t="s">
        <v>2057</v>
      </c>
    </row>
    <row r="1033" spans="1:5" ht="25">
      <c r="A1033" s="2">
        <f ca="1">IF(COUNTIF($AA$1:$BXX$24,1033) = 0,RAND(),RAND()-1)</f>
        <v>0.19605712778888729</v>
      </c>
      <c r="B1033" s="2" t="e">
        <f t="shared" ca="1" si="24"/>
        <v>#N/A</v>
      </c>
      <c r="C1033" s="1">
        <v>1033</v>
      </c>
      <c r="D1033" s="1" t="s">
        <v>2058</v>
      </c>
      <c r="E1033" s="1" t="s">
        <v>2059</v>
      </c>
    </row>
    <row r="1034" spans="1:5" ht="25">
      <c r="A1034" s="2">
        <f ca="1">IF(COUNTIF($AA$1:$BXX$24,1034) = 0,RAND(),RAND()-1)</f>
        <v>0.7847711007882725</v>
      </c>
      <c r="B1034" s="2" t="e">
        <f t="shared" ca="1" si="24"/>
        <v>#N/A</v>
      </c>
      <c r="C1034" s="1">
        <v>1034</v>
      </c>
      <c r="D1034" s="1" t="s">
        <v>2060</v>
      </c>
      <c r="E1034" s="1" t="s">
        <v>2061</v>
      </c>
    </row>
    <row r="1035" spans="1:5" ht="25">
      <c r="A1035" s="2">
        <f ca="1">IF(COUNTIF($AA$1:$BXX$24,1035) = 0,RAND(),RAND()-1)</f>
        <v>0.81502710589698213</v>
      </c>
      <c r="B1035" s="2" t="e">
        <f t="shared" ca="1" si="24"/>
        <v>#N/A</v>
      </c>
      <c r="C1035" s="1">
        <v>1035</v>
      </c>
      <c r="D1035" s="1" t="s">
        <v>2062</v>
      </c>
      <c r="E1035" s="1" t="s">
        <v>2063</v>
      </c>
    </row>
    <row r="1036" spans="1:5" ht="25">
      <c r="A1036" s="2">
        <f ca="1">IF(COUNTIF($AA$1:$BXX$24,1036) = 0,RAND(),RAND()-1)</f>
        <v>1.9950136422121179E-2</v>
      </c>
      <c r="B1036" s="2" t="e">
        <f t="shared" ca="1" si="24"/>
        <v>#N/A</v>
      </c>
      <c r="C1036" s="1">
        <v>1036</v>
      </c>
      <c r="D1036" s="1" t="s">
        <v>2064</v>
      </c>
      <c r="E1036" s="1" t="s">
        <v>2065</v>
      </c>
    </row>
    <row r="1037" spans="1:5" ht="25">
      <c r="A1037" s="2">
        <f ca="1">IF(COUNTIF($AA$1:$BXX$24,1037) = 0,RAND(),RAND()-1)</f>
        <v>0.75760595244367346</v>
      </c>
      <c r="B1037" s="2" t="e">
        <f t="shared" ca="1" si="24"/>
        <v>#N/A</v>
      </c>
      <c r="C1037" s="1">
        <v>1037</v>
      </c>
      <c r="D1037" s="1" t="s">
        <v>2066</v>
      </c>
      <c r="E1037" s="1" t="s">
        <v>2067</v>
      </c>
    </row>
    <row r="1038" spans="1:5" ht="25">
      <c r="A1038" s="2">
        <f ca="1">IF(COUNTIF($AA$1:$BXX$24,1038) = 0,RAND(),RAND()-1)</f>
        <v>0.5137464406007709</v>
      </c>
      <c r="B1038" s="2" t="e">
        <f t="shared" ca="1" si="24"/>
        <v>#N/A</v>
      </c>
      <c r="C1038" s="1">
        <v>1038</v>
      </c>
      <c r="D1038" s="1" t="s">
        <v>2068</v>
      </c>
      <c r="E1038" s="1" t="s">
        <v>2069</v>
      </c>
    </row>
    <row r="1039" spans="1:5" ht="25">
      <c r="A1039" s="2">
        <f ca="1">IF(COUNTIF($AA$1:$BXX$24,1039) = 0,RAND(),RAND()-1)</f>
        <v>0.84220969132906598</v>
      </c>
      <c r="B1039" s="2" t="e">
        <f t="shared" ca="1" si="24"/>
        <v>#N/A</v>
      </c>
      <c r="C1039" s="1">
        <v>1039</v>
      </c>
      <c r="D1039" s="1" t="s">
        <v>2070</v>
      </c>
      <c r="E1039" s="1" t="s">
        <v>2071</v>
      </c>
    </row>
    <row r="1040" spans="1:5" ht="25">
      <c r="A1040" s="2">
        <f ca="1">IF(COUNTIF($AA$1:$BXX$24,1040) = 0,RAND(),RAND()-1)</f>
        <v>0.28015963103390906</v>
      </c>
      <c r="B1040" s="2" t="e">
        <f t="shared" ca="1" si="24"/>
        <v>#N/A</v>
      </c>
      <c r="C1040" s="1">
        <v>1040</v>
      </c>
      <c r="D1040" s="1" t="s">
        <v>2072</v>
      </c>
      <c r="E1040" s="1" t="s">
        <v>2073</v>
      </c>
    </row>
    <row r="1041" spans="1:5" ht="25">
      <c r="A1041" s="2">
        <f ca="1">IF(COUNTIF($AA$1:$BXX$24,1041) = 0,RAND(),RAND()-1)</f>
        <v>0.18753043483091536</v>
      </c>
      <c r="B1041" s="2" t="e">
        <f t="shared" ca="1" si="24"/>
        <v>#N/A</v>
      </c>
      <c r="C1041" s="1">
        <v>1041</v>
      </c>
      <c r="D1041" s="1" t="s">
        <v>2074</v>
      </c>
      <c r="E1041" s="1" t="s">
        <v>2075</v>
      </c>
    </row>
    <row r="1042" spans="1:5" ht="25">
      <c r="A1042" s="2">
        <f ca="1">IF(COUNTIF($AA$1:$BXX$24,1042) = 0,RAND(),RAND()-1)</f>
        <v>0.73804503030153978</v>
      </c>
      <c r="B1042" s="2" t="e">
        <f t="shared" ca="1" si="24"/>
        <v>#N/A</v>
      </c>
      <c r="C1042" s="1">
        <v>1042</v>
      </c>
      <c r="D1042" s="1" t="s">
        <v>2076</v>
      </c>
      <c r="E1042" s="1" t="s">
        <v>2077</v>
      </c>
    </row>
    <row r="1043" spans="1:5" ht="25">
      <c r="A1043" s="2">
        <f ca="1">IF(COUNTIF($AA$1:$BXX$24,1043) = 0,RAND(),RAND()-1)</f>
        <v>0.28676711913912611</v>
      </c>
      <c r="B1043" s="2" t="e">
        <f t="shared" ca="1" si="24"/>
        <v>#N/A</v>
      </c>
      <c r="C1043" s="1">
        <v>1043</v>
      </c>
      <c r="D1043" s="1" t="s">
        <v>2078</v>
      </c>
      <c r="E1043" s="1" t="s">
        <v>2079</v>
      </c>
    </row>
    <row r="1044" spans="1:5" ht="25">
      <c r="A1044" s="2">
        <f ca="1">IF(COUNTIF($AA$1:$BXX$24,1044) = 0,RAND(),RAND()-1)</f>
        <v>1.3538947272008661E-2</v>
      </c>
      <c r="B1044" s="2" t="e">
        <f t="shared" ca="1" si="24"/>
        <v>#N/A</v>
      </c>
      <c r="C1044" s="1">
        <v>1044</v>
      </c>
      <c r="D1044" s="1" t="s">
        <v>2080</v>
      </c>
      <c r="E1044" s="1" t="s">
        <v>2081</v>
      </c>
    </row>
    <row r="1045" spans="1:5" ht="25">
      <c r="A1045" s="2">
        <f ca="1">IF(COUNTIF($AA$1:$BXX$24,1045) = 0,RAND(),RAND()-1)</f>
        <v>0.33591959714329256</v>
      </c>
      <c r="B1045" s="2" t="e">
        <f t="shared" ca="1" si="24"/>
        <v>#N/A</v>
      </c>
      <c r="C1045" s="1">
        <v>1045</v>
      </c>
      <c r="D1045" s="1" t="s">
        <v>2082</v>
      </c>
      <c r="E1045" s="1" t="s">
        <v>2083</v>
      </c>
    </row>
    <row r="1046" spans="1:5" ht="25">
      <c r="A1046" s="2">
        <f ca="1">IF(COUNTIF($AA$1:$BXX$24,1046) = 0,RAND(),RAND()-1)</f>
        <v>0.26280170270419501</v>
      </c>
      <c r="B1046" s="2" t="e">
        <f t="shared" ca="1" si="24"/>
        <v>#N/A</v>
      </c>
      <c r="C1046" s="1">
        <v>1046</v>
      </c>
      <c r="D1046" s="1" t="s">
        <v>2084</v>
      </c>
      <c r="E1046" s="1" t="s">
        <v>2085</v>
      </c>
    </row>
    <row r="1047" spans="1:5" ht="25">
      <c r="A1047" s="2">
        <f ca="1">IF(COUNTIF($AA$1:$BXX$24,1047) = 0,RAND(),RAND()-1)</f>
        <v>0.40655448738696931</v>
      </c>
      <c r="B1047" s="2" t="e">
        <f t="shared" ca="1" si="24"/>
        <v>#N/A</v>
      </c>
      <c r="C1047" s="1">
        <v>1047</v>
      </c>
      <c r="D1047" s="1" t="s">
        <v>2086</v>
      </c>
      <c r="E1047" s="1" t="s">
        <v>2087</v>
      </c>
    </row>
    <row r="1048" spans="1:5" ht="25">
      <c r="A1048" s="2">
        <f ca="1">IF(COUNTIF($AA$1:$BXX$24,1048) = 0,RAND(),RAND()-1)</f>
        <v>0.92321335201313137</v>
      </c>
      <c r="B1048" s="2" t="e">
        <f t="shared" ca="1" si="24"/>
        <v>#N/A</v>
      </c>
      <c r="C1048" s="1">
        <v>1048</v>
      </c>
      <c r="D1048" s="1" t="s">
        <v>2088</v>
      </c>
      <c r="E1048" s="1" t="s">
        <v>2089</v>
      </c>
    </row>
    <row r="1049" spans="1:5" ht="25">
      <c r="A1049" s="2">
        <f ca="1">IF(COUNTIF($AA$1:$BXX$24,1049) = 0,RAND(),RAND()-1)</f>
        <v>0.90671325113522983</v>
      </c>
      <c r="B1049" s="2" t="e">
        <f t="shared" ca="1" si="24"/>
        <v>#N/A</v>
      </c>
      <c r="C1049" s="1">
        <v>1049</v>
      </c>
      <c r="D1049" s="1" t="s">
        <v>2090</v>
      </c>
      <c r="E1049" s="1" t="s">
        <v>2091</v>
      </c>
    </row>
    <row r="1050" spans="1:5" ht="25">
      <c r="A1050" s="2">
        <f ca="1">IF(COUNTIF($AA$1:$BXX$24,1050) = 0,RAND(),RAND()-1)</f>
        <v>8.9853561856871655E-2</v>
      </c>
      <c r="B1050" s="2" t="e">
        <f t="shared" ca="1" si="24"/>
        <v>#N/A</v>
      </c>
      <c r="C1050" s="1">
        <v>1050</v>
      </c>
      <c r="D1050" s="1" t="s">
        <v>2092</v>
      </c>
      <c r="E1050" s="1" t="s">
        <v>2093</v>
      </c>
    </row>
    <row r="1051" spans="1:5" ht="25">
      <c r="A1051" s="2">
        <f ca="1">IF(COUNTIF($AA$1:$BXX$24,1051) = 0,RAND(),RAND()-1)</f>
        <v>0.98376165786930103</v>
      </c>
      <c r="B1051" s="2" t="e">
        <f t="shared" ca="1" si="24"/>
        <v>#N/A</v>
      </c>
      <c r="C1051" s="1">
        <v>1051</v>
      </c>
      <c r="D1051" s="1" t="s">
        <v>2094</v>
      </c>
      <c r="E1051" s="1" t="s">
        <v>1178</v>
      </c>
    </row>
    <row r="1052" spans="1:5" ht="25">
      <c r="A1052" s="2">
        <f ca="1">IF(COUNTIF($AA$1:$BXX$24,1052) = 0,RAND(),RAND()-1)</f>
        <v>0.84325778614943392</v>
      </c>
      <c r="B1052" s="2" t="e">
        <f t="shared" ca="1" si="24"/>
        <v>#N/A</v>
      </c>
      <c r="C1052" s="1">
        <v>1052</v>
      </c>
      <c r="D1052" s="1" t="s">
        <v>2095</v>
      </c>
      <c r="E1052" s="1" t="s">
        <v>2096</v>
      </c>
    </row>
    <row r="1053" spans="1:5" ht="25">
      <c r="A1053" s="2">
        <f ca="1">IF(COUNTIF($AA$1:$BXX$24,1053) = 0,RAND(),RAND()-1)</f>
        <v>0.28121715067561259</v>
      </c>
      <c r="B1053" s="2" t="e">
        <f t="shared" ca="1" si="24"/>
        <v>#N/A</v>
      </c>
      <c r="C1053" s="1">
        <v>1053</v>
      </c>
      <c r="D1053" s="1" t="s">
        <v>2097</v>
      </c>
      <c r="E1053" s="1" t="s">
        <v>2098</v>
      </c>
    </row>
    <row r="1054" spans="1:5" ht="25">
      <c r="A1054" s="2">
        <f ca="1">IF(COUNTIF($AA$1:$BXX$24,1054) = 0,RAND(),RAND()-1)</f>
        <v>0.60989931750691417</v>
      </c>
      <c r="B1054" s="2" t="e">
        <f t="shared" ca="1" si="24"/>
        <v>#N/A</v>
      </c>
      <c r="C1054" s="1">
        <v>1054</v>
      </c>
      <c r="D1054" s="1" t="s">
        <v>2099</v>
      </c>
      <c r="E1054" s="1" t="s">
        <v>2100</v>
      </c>
    </row>
    <row r="1055" spans="1:5" ht="25">
      <c r="A1055" s="2">
        <f ca="1">IF(COUNTIF($AA$1:$BXX$24,1055) = 0,RAND(),RAND()-1)</f>
        <v>0.38860604275841515</v>
      </c>
      <c r="B1055" s="2" t="e">
        <f t="shared" ca="1" si="24"/>
        <v>#N/A</v>
      </c>
      <c r="C1055" s="1">
        <v>1055</v>
      </c>
      <c r="D1055" s="1" t="s">
        <v>2101</v>
      </c>
      <c r="E1055" s="1" t="s">
        <v>2102</v>
      </c>
    </row>
    <row r="1056" spans="1:5" ht="25">
      <c r="A1056" s="2">
        <f ca="1">IF(COUNTIF($AA$1:$BXX$24,1056) = 0,RAND(),RAND()-1)</f>
        <v>0.61584377071540242</v>
      </c>
      <c r="B1056" s="2" t="e">
        <f t="shared" ca="1" si="24"/>
        <v>#N/A</v>
      </c>
      <c r="C1056" s="1">
        <v>1056</v>
      </c>
      <c r="D1056" s="1" t="s">
        <v>2103</v>
      </c>
      <c r="E1056" s="1" t="s">
        <v>2104</v>
      </c>
    </row>
    <row r="1057" spans="1:5" ht="25">
      <c r="A1057" s="2">
        <f ca="1">IF(COUNTIF($AA$1:$BXX$24,1057) = 0,RAND(),RAND()-1)</f>
        <v>0.10951723573872951</v>
      </c>
      <c r="B1057" s="2" t="e">
        <f t="shared" ca="1" si="24"/>
        <v>#N/A</v>
      </c>
      <c r="C1057" s="1">
        <v>1057</v>
      </c>
      <c r="D1057" s="1" t="s">
        <v>2105</v>
      </c>
      <c r="E1057" s="1" t="s">
        <v>2106</v>
      </c>
    </row>
    <row r="1058" spans="1:5" ht="25">
      <c r="A1058" s="2">
        <f ca="1">IF(COUNTIF($AA$1:$BXX$24,1058) = 0,RAND(),RAND()-1)</f>
        <v>0.67430011044964278</v>
      </c>
      <c r="B1058" s="2" t="e">
        <f t="shared" ca="1" si="24"/>
        <v>#N/A</v>
      </c>
      <c r="C1058" s="1">
        <v>1058</v>
      </c>
      <c r="D1058" s="1" t="s">
        <v>2107</v>
      </c>
      <c r="E1058" s="1" t="s">
        <v>2108</v>
      </c>
    </row>
    <row r="1059" spans="1:5" ht="25">
      <c r="A1059" s="2">
        <f ca="1">IF(COUNTIF($AA$1:$BXX$24,1059) = 0,RAND(),RAND()-1)</f>
        <v>0.82568592215129177</v>
      </c>
      <c r="B1059" s="2" t="e">
        <f t="shared" ca="1" si="24"/>
        <v>#N/A</v>
      </c>
      <c r="C1059" s="1">
        <v>1059</v>
      </c>
      <c r="D1059" s="1" t="s">
        <v>2109</v>
      </c>
      <c r="E1059" s="1" t="s">
        <v>2110</v>
      </c>
    </row>
    <row r="1060" spans="1:5" ht="25">
      <c r="A1060" s="2">
        <f ca="1">IF(COUNTIF($AA$1:$BXX$24,1060) = 0,RAND(),RAND()-1)</f>
        <v>0.4117078503542515</v>
      </c>
      <c r="B1060" s="2" t="e">
        <f t="shared" ca="1" si="24"/>
        <v>#N/A</v>
      </c>
      <c r="C1060" s="1">
        <v>1060</v>
      </c>
      <c r="D1060" s="1" t="s">
        <v>2111</v>
      </c>
      <c r="E1060" s="1" t="s">
        <v>2112</v>
      </c>
    </row>
    <row r="1061" spans="1:5" ht="25">
      <c r="A1061" s="2">
        <f ca="1">IF(COUNTIF($AA$1:$BXX$24,1061) = 0,RAND(),RAND()-1)</f>
        <v>0.75309996612779684</v>
      </c>
      <c r="B1061" s="2" t="e">
        <f t="shared" ca="1" si="24"/>
        <v>#N/A</v>
      </c>
      <c r="C1061" s="1">
        <v>1061</v>
      </c>
      <c r="D1061" s="1" t="s">
        <v>2113</v>
      </c>
      <c r="E1061" s="1" t="s">
        <v>2114</v>
      </c>
    </row>
    <row r="1062" spans="1:5" ht="25">
      <c r="A1062" s="2">
        <f ca="1">IF(COUNTIF($AA$1:$BXX$24,1062) = 0,RAND(),RAND()-1)</f>
        <v>0.67809692695292512</v>
      </c>
      <c r="B1062" s="2" t="e">
        <f t="shared" ca="1" si="24"/>
        <v>#N/A</v>
      </c>
      <c r="C1062" s="1">
        <v>1062</v>
      </c>
      <c r="D1062" s="1" t="s">
        <v>2115</v>
      </c>
      <c r="E1062" s="1" t="s">
        <v>2116</v>
      </c>
    </row>
    <row r="1063" spans="1:5" ht="25">
      <c r="A1063" s="2">
        <f ca="1">IF(COUNTIF($AA$1:$BXX$24,1063) = 0,RAND(),RAND()-1)</f>
        <v>1.473705856955243E-2</v>
      </c>
      <c r="B1063" s="2" t="e">
        <f t="shared" ca="1" si="24"/>
        <v>#N/A</v>
      </c>
      <c r="C1063" s="1">
        <v>1063</v>
      </c>
      <c r="D1063" s="1" t="s">
        <v>2117</v>
      </c>
      <c r="E1063" s="1" t="s">
        <v>2118</v>
      </c>
    </row>
    <row r="1064" spans="1:5" ht="25">
      <c r="A1064" s="2">
        <f ca="1">IF(COUNTIF($AA$1:$BXX$24,1064) = 0,RAND(),RAND()-1)</f>
        <v>0.69228798037953632</v>
      </c>
      <c r="B1064" s="2" t="e">
        <f t="shared" ca="1" si="24"/>
        <v>#N/A</v>
      </c>
      <c r="C1064" s="1">
        <v>1064</v>
      </c>
      <c r="D1064" s="1" t="s">
        <v>2119</v>
      </c>
      <c r="E1064" s="1" t="s">
        <v>2120</v>
      </c>
    </row>
    <row r="1065" spans="1:5" ht="25">
      <c r="A1065" s="2">
        <f ca="1">IF(COUNTIF($AA$1:$BXX$24,1065) = 0,RAND(),RAND()-1)</f>
        <v>8.0752170513487043E-2</v>
      </c>
      <c r="B1065" s="2" t="e">
        <f t="shared" ca="1" si="24"/>
        <v>#N/A</v>
      </c>
      <c r="C1065" s="1">
        <v>1065</v>
      </c>
      <c r="D1065" s="1" t="s">
        <v>2121</v>
      </c>
      <c r="E1065" s="1" t="s">
        <v>2122</v>
      </c>
    </row>
    <row r="1066" spans="1:5" ht="25">
      <c r="A1066" s="2">
        <f ca="1">IF(COUNTIF($AA$1:$BXX$24,1066) = 0,RAND(),RAND()-1)</f>
        <v>0.24679931120424559</v>
      </c>
      <c r="B1066" s="2" t="e">
        <f t="shared" ca="1" si="24"/>
        <v>#N/A</v>
      </c>
      <c r="C1066" s="1">
        <v>1066</v>
      </c>
      <c r="D1066" s="1" t="s">
        <v>2123</v>
      </c>
      <c r="E1066" s="1" t="s">
        <v>2124</v>
      </c>
    </row>
    <row r="1067" spans="1:5" ht="25">
      <c r="A1067" s="2">
        <f ca="1">IF(COUNTIF($AA$1:$BXX$24,1067) = 0,RAND(),RAND()-1)</f>
        <v>7.2071188566156463E-2</v>
      </c>
      <c r="B1067" s="2" t="e">
        <f t="shared" ca="1" si="24"/>
        <v>#N/A</v>
      </c>
      <c r="C1067" s="1">
        <v>1067</v>
      </c>
      <c r="D1067" s="1" t="s">
        <v>2125</v>
      </c>
      <c r="E1067" s="1" t="s">
        <v>2126</v>
      </c>
    </row>
    <row r="1068" spans="1:5" ht="25">
      <c r="A1068" s="2">
        <f ca="1">IF(COUNTIF($AA$1:$BXX$24,1068) = 0,RAND(),RAND()-1)</f>
        <v>0.72793810286228366</v>
      </c>
      <c r="B1068" s="2" t="e">
        <f t="shared" ca="1" si="24"/>
        <v>#N/A</v>
      </c>
      <c r="C1068" s="1">
        <v>1068</v>
      </c>
      <c r="D1068" s="1" t="s">
        <v>2127</v>
      </c>
      <c r="E1068" s="1" t="s">
        <v>2128</v>
      </c>
    </row>
    <row r="1069" spans="1:5" ht="25">
      <c r="A1069" s="2">
        <f ca="1">IF(COUNTIF($AA$1:$BXX$24,1069) = 0,RAND(),RAND()-1)</f>
        <v>0.56242816161490217</v>
      </c>
      <c r="B1069" s="2" t="e">
        <f t="shared" ca="1" si="24"/>
        <v>#N/A</v>
      </c>
      <c r="C1069" s="1">
        <v>1069</v>
      </c>
      <c r="D1069" s="1" t="s">
        <v>2129</v>
      </c>
      <c r="E1069" s="1" t="s">
        <v>381</v>
      </c>
    </row>
    <row r="1070" spans="1:5" ht="25">
      <c r="A1070" s="2">
        <f ca="1">IF(COUNTIF($AA$1:$BXX$24,1070) = 0,RAND(),RAND()-1)</f>
        <v>0.66281231373551952</v>
      </c>
      <c r="B1070" s="2" t="e">
        <f t="shared" ca="1" si="24"/>
        <v>#N/A</v>
      </c>
      <c r="C1070" s="1">
        <v>1070</v>
      </c>
      <c r="D1070" s="1" t="s">
        <v>2130</v>
      </c>
      <c r="E1070" s="1" t="s">
        <v>2131</v>
      </c>
    </row>
    <row r="1071" spans="1:5" ht="25">
      <c r="A1071" s="2">
        <f ca="1">IF(COUNTIF($AA$1:$BXX$24,1071) = 0,RAND(),RAND()-1)</f>
        <v>8.630930410239146E-2</v>
      </c>
      <c r="B1071" s="2" t="e">
        <f t="shared" ca="1" si="24"/>
        <v>#N/A</v>
      </c>
      <c r="C1071" s="1">
        <v>1071</v>
      </c>
      <c r="D1071" s="1" t="s">
        <v>2132</v>
      </c>
      <c r="E1071" s="1" t="s">
        <v>2133</v>
      </c>
    </row>
    <row r="1072" spans="1:5" ht="25">
      <c r="A1072" s="2">
        <f ca="1">IF(COUNTIF($AA$1:$BXX$24,1072) = 0,RAND(),RAND()-1)</f>
        <v>0.17731131427840974</v>
      </c>
      <c r="B1072" s="2" t="e">
        <f t="shared" ca="1" si="24"/>
        <v>#N/A</v>
      </c>
      <c r="C1072" s="1">
        <v>1072</v>
      </c>
      <c r="D1072" s="1" t="s">
        <v>2134</v>
      </c>
      <c r="E1072" s="1" t="s">
        <v>2135</v>
      </c>
    </row>
    <row r="1073" spans="1:5" ht="25">
      <c r="A1073" s="2">
        <f ca="1">IF(COUNTIF($AA$1:$BXX$24,1073) = 0,RAND(),RAND()-1)</f>
        <v>0.59601861839220471</v>
      </c>
      <c r="B1073" s="2" t="e">
        <f t="shared" ca="1" si="24"/>
        <v>#N/A</v>
      </c>
      <c r="C1073" s="1">
        <v>1073</v>
      </c>
      <c r="D1073" s="1" t="s">
        <v>2136</v>
      </c>
      <c r="E1073" s="1" t="s">
        <v>2137</v>
      </c>
    </row>
    <row r="1074" spans="1:5" ht="25">
      <c r="A1074" s="2">
        <f ca="1">IF(COUNTIF($AA$1:$BXX$24,1074) = 0,RAND(),RAND()-1)</f>
        <v>0.80221192354338011</v>
      </c>
      <c r="B1074" s="2" t="e">
        <f t="shared" ca="1" si="24"/>
        <v>#N/A</v>
      </c>
      <c r="C1074" s="1">
        <v>1074</v>
      </c>
      <c r="D1074" s="1" t="s">
        <v>2138</v>
      </c>
      <c r="E1074" s="1" t="s">
        <v>2139</v>
      </c>
    </row>
    <row r="1075" spans="1:5" ht="25">
      <c r="A1075" s="2">
        <f ca="1">IF(COUNTIF($AA$1:$BXX$24,1075) = 0,RAND(),RAND()-1)</f>
        <v>0.15675792732714822</v>
      </c>
      <c r="B1075" s="2" t="e">
        <f t="shared" ca="1" si="24"/>
        <v>#N/A</v>
      </c>
      <c r="C1075" s="1">
        <v>1075</v>
      </c>
      <c r="D1075" s="1" t="s">
        <v>2140</v>
      </c>
      <c r="E1075" s="1" t="s">
        <v>2141</v>
      </c>
    </row>
    <row r="1076" spans="1:5" ht="25">
      <c r="A1076" s="2">
        <f ca="1">IF(COUNTIF($AA$1:$BXX$24,1076) = 0,RAND(),RAND()-1)</f>
        <v>0.85718684074425222</v>
      </c>
      <c r="B1076" s="2" t="e">
        <f t="shared" ca="1" si="24"/>
        <v>#N/A</v>
      </c>
      <c r="C1076" s="1">
        <v>1076</v>
      </c>
      <c r="D1076" s="1" t="s">
        <v>2142</v>
      </c>
      <c r="E1076" s="1" t="s">
        <v>407</v>
      </c>
    </row>
    <row r="1077" spans="1:5" ht="25">
      <c r="A1077" s="2">
        <f ca="1">IF(COUNTIF($AA$1:$BXX$24,1077) = 0,RAND(),RAND()-1)</f>
        <v>0.1864872555012923</v>
      </c>
      <c r="B1077" s="2" t="e">
        <f t="shared" ca="1" si="24"/>
        <v>#N/A</v>
      </c>
      <c r="C1077" s="1">
        <v>1077</v>
      </c>
      <c r="D1077" s="1" t="s">
        <v>2143</v>
      </c>
      <c r="E1077" s="1" t="s">
        <v>2144</v>
      </c>
    </row>
    <row r="1078" spans="1:5" ht="25">
      <c r="A1078" s="2">
        <f ca="1">IF(COUNTIF($AA$1:$BXX$24,1078) = 0,RAND(),RAND()-1)</f>
        <v>0.55071730372123318</v>
      </c>
      <c r="B1078" s="2" t="e">
        <f t="shared" ca="1" si="24"/>
        <v>#N/A</v>
      </c>
      <c r="C1078" s="1">
        <v>1078</v>
      </c>
      <c r="D1078" s="1" t="s">
        <v>2145</v>
      </c>
      <c r="E1078" s="1" t="s">
        <v>2146</v>
      </c>
    </row>
    <row r="1079" spans="1:5" ht="25">
      <c r="A1079" s="2">
        <f ca="1">IF(COUNTIF($AA$1:$BXX$24,1079) = 0,RAND(),RAND()-1)</f>
        <v>9.0694129700116255E-2</v>
      </c>
      <c r="B1079" s="2" t="e">
        <f t="shared" ca="1" si="24"/>
        <v>#N/A</v>
      </c>
      <c r="C1079" s="1">
        <v>1079</v>
      </c>
      <c r="D1079" s="1" t="s">
        <v>2147</v>
      </c>
      <c r="E1079" s="1" t="s">
        <v>2148</v>
      </c>
    </row>
    <row r="1080" spans="1:5" ht="25">
      <c r="A1080" s="2">
        <f ca="1">IF(COUNTIF($AA$1:$BXX$24,1080) = 0,RAND(),RAND()-1)</f>
        <v>0.86316839279370916</v>
      </c>
      <c r="B1080" s="2" t="e">
        <f t="shared" ca="1" si="24"/>
        <v>#N/A</v>
      </c>
      <c r="C1080" s="1">
        <v>1080</v>
      </c>
      <c r="D1080" s="1" t="s">
        <v>2149</v>
      </c>
      <c r="E1080" s="1" t="s">
        <v>997</v>
      </c>
    </row>
    <row r="1081" spans="1:5" ht="25">
      <c r="A1081" s="2">
        <f ca="1">IF(COUNTIF($AA$1:$BXX$24,1081) = 0,RAND(),RAND()-1)</f>
        <v>0.85157105206674644</v>
      </c>
      <c r="B1081" s="2" t="e">
        <f t="shared" ca="1" si="24"/>
        <v>#N/A</v>
      </c>
      <c r="C1081" s="1">
        <v>1081</v>
      </c>
      <c r="D1081" s="1" t="s">
        <v>2150</v>
      </c>
      <c r="E1081" s="1" t="s">
        <v>2151</v>
      </c>
    </row>
    <row r="1082" spans="1:5" ht="25">
      <c r="A1082" s="2">
        <f ca="1">IF(COUNTIF($AA$1:$BXX$24,1082) = 0,RAND(),RAND()-1)</f>
        <v>0.34177146035711736</v>
      </c>
      <c r="B1082" s="2" t="e">
        <f t="shared" ca="1" si="24"/>
        <v>#N/A</v>
      </c>
      <c r="C1082" s="1">
        <v>1082</v>
      </c>
      <c r="D1082" s="1" t="s">
        <v>2152</v>
      </c>
      <c r="E1082" s="1" t="s">
        <v>379</v>
      </c>
    </row>
    <row r="1083" spans="1:5" ht="25">
      <c r="A1083" s="2">
        <f ca="1">IF(COUNTIF($AA$1:$BXX$24,1083) = 0,RAND(),RAND()-1)</f>
        <v>0.55301162838796614</v>
      </c>
      <c r="B1083" s="2" t="e">
        <f t="shared" ca="1" si="24"/>
        <v>#N/A</v>
      </c>
      <c r="C1083" s="1">
        <v>1083</v>
      </c>
      <c r="D1083" s="1" t="s">
        <v>2153</v>
      </c>
      <c r="E1083" s="1" t="s">
        <v>2154</v>
      </c>
    </row>
    <row r="1084" spans="1:5" ht="25">
      <c r="A1084" s="2">
        <f ca="1">IF(COUNTIF($AA$1:$BXX$24,1084) = 0,RAND(),RAND()-1)</f>
        <v>0.37612070455259072</v>
      </c>
      <c r="B1084" s="2" t="e">
        <f t="shared" ca="1" si="24"/>
        <v>#N/A</v>
      </c>
      <c r="C1084" s="1">
        <v>1084</v>
      </c>
      <c r="D1084" s="1" t="s">
        <v>2155</v>
      </c>
      <c r="E1084" s="1" t="s">
        <v>2156</v>
      </c>
    </row>
    <row r="1085" spans="1:5" ht="25">
      <c r="A1085" s="2">
        <f ca="1">IF(COUNTIF($AA$1:$BXX$24,1085) = 0,RAND(),RAND()-1)</f>
        <v>0.10758776316322749</v>
      </c>
      <c r="B1085" s="2" t="e">
        <f t="shared" ca="1" si="24"/>
        <v>#N/A</v>
      </c>
      <c r="C1085" s="1">
        <v>1085</v>
      </c>
      <c r="D1085" s="1" t="s">
        <v>2157</v>
      </c>
      <c r="E1085" s="1" t="s">
        <v>2158</v>
      </c>
    </row>
    <row r="1086" spans="1:5" ht="25">
      <c r="A1086" s="2">
        <f ca="1">IF(COUNTIF($AA$1:$BXX$24,1086) = 0,RAND(),RAND()-1)</f>
        <v>0.63337086006818832</v>
      </c>
      <c r="B1086" s="2" t="e">
        <f t="shared" ca="1" si="24"/>
        <v>#N/A</v>
      </c>
      <c r="C1086" s="1">
        <v>1086</v>
      </c>
      <c r="D1086" s="1" t="s">
        <v>2159</v>
      </c>
      <c r="E1086" s="1" t="s">
        <v>2160</v>
      </c>
    </row>
    <row r="1087" spans="1:5" ht="25">
      <c r="A1087" s="2">
        <f ca="1">IF(COUNTIF($AA$1:$BXX$24,1087) = 0,RAND(),RAND()-1)</f>
        <v>1.0811530992995921E-2</v>
      </c>
      <c r="B1087" s="2" t="e">
        <f t="shared" ca="1" si="24"/>
        <v>#N/A</v>
      </c>
      <c r="C1087" s="1">
        <v>1087</v>
      </c>
      <c r="D1087" s="1" t="s">
        <v>2161</v>
      </c>
      <c r="E1087" s="1" t="s">
        <v>2162</v>
      </c>
    </row>
    <row r="1088" spans="1:5" ht="25">
      <c r="A1088" s="2">
        <f ca="1">IF(COUNTIF($AA$1:$BXX$24,1088) = 0,RAND(),RAND()-1)</f>
        <v>3.6586444257321826E-2</v>
      </c>
      <c r="B1088" s="2" t="e">
        <f t="shared" ca="1" si="24"/>
        <v>#N/A</v>
      </c>
      <c r="C1088" s="1">
        <v>1088</v>
      </c>
      <c r="D1088" s="1" t="s">
        <v>2163</v>
      </c>
      <c r="E1088" s="1" t="s">
        <v>2164</v>
      </c>
    </row>
    <row r="1089" spans="1:5" ht="25">
      <c r="A1089" s="2">
        <f ca="1">IF(COUNTIF($AA$1:$BXX$24,1089) = 0,RAND(),RAND()-1)</f>
        <v>0.87601614286644913</v>
      </c>
      <c r="B1089" s="2" t="e">
        <f t="shared" ref="B1089:B1152" ca="1" si="25">RANK(A1089,OFFSET($A$1,$G$1-1,0,$G$2-$G$1+1))</f>
        <v>#N/A</v>
      </c>
      <c r="C1089" s="1">
        <v>1089</v>
      </c>
      <c r="D1089" s="1" t="s">
        <v>2165</v>
      </c>
      <c r="E1089" s="1" t="s">
        <v>2166</v>
      </c>
    </row>
    <row r="1090" spans="1:5" ht="25">
      <c r="A1090" s="2">
        <f ca="1">IF(COUNTIF($AA$1:$BXX$24,1090) = 0,RAND(),RAND()-1)</f>
        <v>0.74518002473889522</v>
      </c>
      <c r="B1090" s="2" t="e">
        <f t="shared" ca="1" si="25"/>
        <v>#N/A</v>
      </c>
      <c r="C1090" s="1">
        <v>1090</v>
      </c>
      <c r="D1090" s="1" t="s">
        <v>2167</v>
      </c>
      <c r="E1090" s="1" t="s">
        <v>2168</v>
      </c>
    </row>
    <row r="1091" spans="1:5" ht="25">
      <c r="A1091" s="2">
        <f ca="1">IF(COUNTIF($AA$1:$BXX$24,1091) = 0,RAND(),RAND()-1)</f>
        <v>0.70866227542549753</v>
      </c>
      <c r="B1091" s="2" t="e">
        <f t="shared" ca="1" si="25"/>
        <v>#N/A</v>
      </c>
      <c r="C1091" s="1">
        <v>1091</v>
      </c>
      <c r="D1091" s="1" t="s">
        <v>2169</v>
      </c>
      <c r="E1091" s="1" t="s">
        <v>2170</v>
      </c>
    </row>
    <row r="1092" spans="1:5" ht="25">
      <c r="A1092" s="2">
        <f ca="1">IF(COUNTIF($AA$1:$BXX$24,1092) = 0,RAND(),RAND()-1)</f>
        <v>0.58691439420274238</v>
      </c>
      <c r="B1092" s="2" t="e">
        <f t="shared" ca="1" si="25"/>
        <v>#N/A</v>
      </c>
      <c r="C1092" s="1">
        <v>1092</v>
      </c>
      <c r="D1092" s="1" t="s">
        <v>2171</v>
      </c>
      <c r="E1092" s="1" t="s">
        <v>2172</v>
      </c>
    </row>
    <row r="1093" spans="1:5" ht="25">
      <c r="A1093" s="2">
        <f ca="1">IF(COUNTIF($AA$1:$BXX$24,1093) = 0,RAND(),RAND()-1)</f>
        <v>0.70735799242924968</v>
      </c>
      <c r="B1093" s="2" t="e">
        <f t="shared" ca="1" si="25"/>
        <v>#N/A</v>
      </c>
      <c r="C1093" s="1">
        <v>1093</v>
      </c>
      <c r="D1093" s="1" t="s">
        <v>2173</v>
      </c>
      <c r="E1093" s="1" t="s">
        <v>2174</v>
      </c>
    </row>
    <row r="1094" spans="1:5" ht="25">
      <c r="A1094" s="2">
        <f ca="1">IF(COUNTIF($AA$1:$BXX$24,1094) = 0,RAND(),RAND()-1)</f>
        <v>0.38465393868358333</v>
      </c>
      <c r="B1094" s="2" t="e">
        <f t="shared" ca="1" si="25"/>
        <v>#N/A</v>
      </c>
      <c r="C1094" s="1">
        <v>1094</v>
      </c>
      <c r="D1094" s="1" t="s">
        <v>2175</v>
      </c>
      <c r="E1094" s="1" t="s">
        <v>2176</v>
      </c>
    </row>
    <row r="1095" spans="1:5" ht="25">
      <c r="A1095" s="2">
        <f ca="1">IF(COUNTIF($AA$1:$BXX$24,1095) = 0,RAND(),RAND()-1)</f>
        <v>0.51232496980851383</v>
      </c>
      <c r="B1095" s="2" t="e">
        <f t="shared" ca="1" si="25"/>
        <v>#N/A</v>
      </c>
      <c r="C1095" s="1">
        <v>1095</v>
      </c>
      <c r="D1095" s="1" t="s">
        <v>2177</v>
      </c>
      <c r="E1095" s="1" t="s">
        <v>2104</v>
      </c>
    </row>
    <row r="1096" spans="1:5" ht="25">
      <c r="A1096" s="2">
        <f ca="1">IF(COUNTIF($AA$1:$BXX$24,1096) = 0,RAND(),RAND()-1)</f>
        <v>0.98845267464474618</v>
      </c>
      <c r="B1096" s="2" t="e">
        <f t="shared" ca="1" si="25"/>
        <v>#N/A</v>
      </c>
      <c r="C1096" s="1">
        <v>1096</v>
      </c>
      <c r="D1096" s="1" t="s">
        <v>2178</v>
      </c>
      <c r="E1096" s="1" t="s">
        <v>2179</v>
      </c>
    </row>
    <row r="1097" spans="1:5" ht="25">
      <c r="A1097" s="2">
        <f ca="1">IF(COUNTIF($AA$1:$BXX$24,1097) = 0,RAND(),RAND()-1)</f>
        <v>0.85070479492594198</v>
      </c>
      <c r="B1097" s="2" t="e">
        <f t="shared" ca="1" si="25"/>
        <v>#N/A</v>
      </c>
      <c r="C1097" s="1">
        <v>1097</v>
      </c>
      <c r="D1097" s="1" t="s">
        <v>2180</v>
      </c>
      <c r="E1097" s="1" t="s">
        <v>2181</v>
      </c>
    </row>
    <row r="1098" spans="1:5" ht="25">
      <c r="A1098" s="2">
        <f ca="1">IF(COUNTIF($AA$1:$BXX$24,1098) = 0,RAND(),RAND()-1)</f>
        <v>0.19144464370448455</v>
      </c>
      <c r="B1098" s="2" t="e">
        <f t="shared" ca="1" si="25"/>
        <v>#N/A</v>
      </c>
      <c r="C1098" s="1">
        <v>1098</v>
      </c>
      <c r="D1098" s="1" t="s">
        <v>2182</v>
      </c>
      <c r="E1098" s="1" t="s">
        <v>2183</v>
      </c>
    </row>
    <row r="1099" spans="1:5" ht="25">
      <c r="A1099" s="2">
        <f ca="1">IF(COUNTIF($AA$1:$BXX$24,1099) = 0,RAND(),RAND()-1)</f>
        <v>0.75167055552402595</v>
      </c>
      <c r="B1099" s="2" t="e">
        <f t="shared" ca="1" si="25"/>
        <v>#N/A</v>
      </c>
      <c r="C1099" s="1">
        <v>1099</v>
      </c>
      <c r="D1099" s="1" t="s">
        <v>2184</v>
      </c>
      <c r="E1099" s="1" t="s">
        <v>2185</v>
      </c>
    </row>
    <row r="1100" spans="1:5" ht="25">
      <c r="A1100" s="2">
        <f ca="1">IF(COUNTIF($AA$1:$BXX$24,1100) = 0,RAND(),RAND()-1)</f>
        <v>0.13811599998233837</v>
      </c>
      <c r="B1100" s="2" t="e">
        <f t="shared" ca="1" si="25"/>
        <v>#N/A</v>
      </c>
      <c r="C1100" s="1">
        <v>1100</v>
      </c>
      <c r="D1100" s="1" t="s">
        <v>2186</v>
      </c>
      <c r="E1100" s="1" t="s">
        <v>2187</v>
      </c>
    </row>
    <row r="1101" spans="1:5" ht="25">
      <c r="A1101" s="2">
        <f ca="1">IF(COUNTIF($AA$1:$BXX$24,1101) = 0,RAND(),RAND()-1)</f>
        <v>0.21490073461247838</v>
      </c>
      <c r="B1101" s="2" t="e">
        <f t="shared" ca="1" si="25"/>
        <v>#N/A</v>
      </c>
      <c r="C1101" s="1">
        <v>1101</v>
      </c>
      <c r="D1101" s="1" t="s">
        <v>2188</v>
      </c>
      <c r="E1101" s="1" t="s">
        <v>2189</v>
      </c>
    </row>
    <row r="1102" spans="1:5" ht="25">
      <c r="A1102" s="2">
        <f ca="1">IF(COUNTIF($AA$1:$BXX$24,1102) = 0,RAND(),RAND()-1)</f>
        <v>0.67220719447502242</v>
      </c>
      <c r="B1102" s="2" t="e">
        <f t="shared" ca="1" si="25"/>
        <v>#N/A</v>
      </c>
      <c r="C1102" s="1">
        <v>1102</v>
      </c>
      <c r="D1102" s="1" t="s">
        <v>2190</v>
      </c>
      <c r="E1102" s="1" t="s">
        <v>2191</v>
      </c>
    </row>
    <row r="1103" spans="1:5" ht="25">
      <c r="A1103" s="2">
        <f ca="1">IF(COUNTIF($AA$1:$BXX$24,1103) = 0,RAND(),RAND()-1)</f>
        <v>0.82890507850203332</v>
      </c>
      <c r="B1103" s="2" t="e">
        <f t="shared" ca="1" si="25"/>
        <v>#N/A</v>
      </c>
      <c r="C1103" s="1">
        <v>1103</v>
      </c>
      <c r="D1103" s="1" t="s">
        <v>2192</v>
      </c>
      <c r="E1103" s="1" t="s">
        <v>2193</v>
      </c>
    </row>
    <row r="1104" spans="1:5" ht="25">
      <c r="A1104" s="2">
        <f ca="1">IF(COUNTIF($AA$1:$BXX$24,1104) = 0,RAND(),RAND()-1)</f>
        <v>0.352719860822304</v>
      </c>
      <c r="B1104" s="2" t="e">
        <f t="shared" ca="1" si="25"/>
        <v>#N/A</v>
      </c>
      <c r="C1104" s="1">
        <v>1104</v>
      </c>
      <c r="D1104" s="1" t="s">
        <v>2194</v>
      </c>
      <c r="E1104" s="1" t="s">
        <v>2195</v>
      </c>
    </row>
    <row r="1105" spans="1:5" ht="25">
      <c r="A1105" s="2">
        <f ca="1">IF(COUNTIF($AA$1:$BXX$24,1105) = 0,RAND(),RAND()-1)</f>
        <v>0.66278329991290252</v>
      </c>
      <c r="B1105" s="2" t="e">
        <f t="shared" ca="1" si="25"/>
        <v>#N/A</v>
      </c>
      <c r="C1105" s="1">
        <v>1105</v>
      </c>
      <c r="D1105" s="1" t="s">
        <v>2196</v>
      </c>
      <c r="E1105" s="1" t="s">
        <v>2197</v>
      </c>
    </row>
    <row r="1106" spans="1:5" ht="25">
      <c r="A1106" s="2">
        <f ca="1">IF(COUNTIF($AA$1:$BXX$24,1106) = 0,RAND(),RAND()-1)</f>
        <v>0.24384445399861532</v>
      </c>
      <c r="B1106" s="2" t="e">
        <f t="shared" ca="1" si="25"/>
        <v>#N/A</v>
      </c>
      <c r="C1106" s="1">
        <v>1106</v>
      </c>
      <c r="D1106" s="1" t="s">
        <v>2198</v>
      </c>
      <c r="E1106" s="1" t="s">
        <v>2199</v>
      </c>
    </row>
    <row r="1107" spans="1:5" ht="25">
      <c r="A1107" s="2">
        <f ca="1">IF(COUNTIF($AA$1:$BXX$24,1107) = 0,RAND(),RAND()-1)</f>
        <v>0.78042660847228784</v>
      </c>
      <c r="B1107" s="2" t="e">
        <f t="shared" ca="1" si="25"/>
        <v>#N/A</v>
      </c>
      <c r="C1107" s="1">
        <v>1107</v>
      </c>
      <c r="D1107" s="1" t="s">
        <v>2200</v>
      </c>
      <c r="E1107" s="1" t="s">
        <v>1940</v>
      </c>
    </row>
    <row r="1108" spans="1:5" ht="25">
      <c r="A1108" s="2">
        <f ca="1">IF(COUNTIF($AA$1:$BXX$24,1108) = 0,RAND(),RAND()-1)</f>
        <v>0.43939422695626196</v>
      </c>
      <c r="B1108" s="2" t="e">
        <f t="shared" ca="1" si="25"/>
        <v>#N/A</v>
      </c>
      <c r="C1108" s="1">
        <v>1108</v>
      </c>
      <c r="D1108" s="1" t="s">
        <v>2201</v>
      </c>
      <c r="E1108" s="1" t="s">
        <v>2202</v>
      </c>
    </row>
    <row r="1109" spans="1:5" ht="25">
      <c r="A1109" s="2">
        <f ca="1">IF(COUNTIF($AA$1:$BXX$24,1109) = 0,RAND(),RAND()-1)</f>
        <v>0.53228326288254535</v>
      </c>
      <c r="B1109" s="2" t="e">
        <f t="shared" ca="1" si="25"/>
        <v>#N/A</v>
      </c>
      <c r="C1109" s="1">
        <v>1109</v>
      </c>
      <c r="D1109" s="1" t="s">
        <v>2203</v>
      </c>
      <c r="E1109" s="1" t="s">
        <v>2204</v>
      </c>
    </row>
    <row r="1110" spans="1:5" ht="25">
      <c r="A1110" s="2">
        <f ca="1">IF(COUNTIF($AA$1:$BXX$24,1110) = 0,RAND(),RAND()-1)</f>
        <v>0.91995341054143043</v>
      </c>
      <c r="B1110" s="2" t="e">
        <f t="shared" ca="1" si="25"/>
        <v>#N/A</v>
      </c>
      <c r="C1110" s="1">
        <v>1110</v>
      </c>
      <c r="D1110" s="1" t="s">
        <v>2205</v>
      </c>
      <c r="E1110" s="1" t="s">
        <v>2206</v>
      </c>
    </row>
    <row r="1111" spans="1:5" ht="25">
      <c r="A1111" s="2">
        <f ca="1">IF(COUNTIF($AA$1:$BXX$24,1111) = 0,RAND(),RAND()-1)</f>
        <v>0.94024867969581005</v>
      </c>
      <c r="B1111" s="2" t="e">
        <f t="shared" ca="1" si="25"/>
        <v>#N/A</v>
      </c>
      <c r="C1111" s="1">
        <v>1111</v>
      </c>
      <c r="D1111" s="1" t="s">
        <v>2207</v>
      </c>
      <c r="E1111" s="1" t="s">
        <v>1021</v>
      </c>
    </row>
    <row r="1112" spans="1:5" ht="25">
      <c r="A1112" s="2">
        <f ca="1">IF(COUNTIF($AA$1:$BXX$24,1112) = 0,RAND(),RAND()-1)</f>
        <v>0.16231265681911811</v>
      </c>
      <c r="B1112" s="2" t="e">
        <f t="shared" ca="1" si="25"/>
        <v>#N/A</v>
      </c>
      <c r="C1112" s="1">
        <v>1112</v>
      </c>
      <c r="D1112" s="1" t="s">
        <v>2208</v>
      </c>
      <c r="E1112" s="1" t="s">
        <v>2209</v>
      </c>
    </row>
    <row r="1113" spans="1:5" ht="25">
      <c r="A1113" s="2">
        <f ca="1">IF(COUNTIF($AA$1:$BXX$24,1113) = 0,RAND(),RAND()-1)</f>
        <v>0.33216492139471776</v>
      </c>
      <c r="B1113" s="2" t="e">
        <f t="shared" ca="1" si="25"/>
        <v>#N/A</v>
      </c>
      <c r="C1113" s="1">
        <v>1113</v>
      </c>
      <c r="D1113" s="1" t="s">
        <v>2210</v>
      </c>
      <c r="E1113" s="1" t="s">
        <v>2211</v>
      </c>
    </row>
    <row r="1114" spans="1:5" ht="25">
      <c r="A1114" s="2">
        <f ca="1">IF(COUNTIF($AA$1:$BXX$24,1114) = 0,RAND(),RAND()-1)</f>
        <v>4.9568807419911654E-2</v>
      </c>
      <c r="B1114" s="2" t="e">
        <f t="shared" ca="1" si="25"/>
        <v>#N/A</v>
      </c>
      <c r="C1114" s="1">
        <v>1114</v>
      </c>
      <c r="D1114" s="1" t="s">
        <v>2212</v>
      </c>
      <c r="E1114" s="1" t="s">
        <v>2213</v>
      </c>
    </row>
    <row r="1115" spans="1:5" ht="25">
      <c r="A1115" s="2">
        <f ca="1">IF(COUNTIF($AA$1:$BXX$24,1115) = 0,RAND(),RAND()-1)</f>
        <v>0.26311361598957284</v>
      </c>
      <c r="B1115" s="2" t="e">
        <f t="shared" ca="1" si="25"/>
        <v>#N/A</v>
      </c>
      <c r="C1115" s="1">
        <v>1115</v>
      </c>
      <c r="D1115" s="1" t="s">
        <v>2214</v>
      </c>
      <c r="E1115" s="1" t="s">
        <v>2215</v>
      </c>
    </row>
    <row r="1116" spans="1:5" ht="25">
      <c r="A1116" s="2">
        <f ca="1">IF(COUNTIF($AA$1:$BXX$24,1116) = 0,RAND(),RAND()-1)</f>
        <v>0.98452130135790084</v>
      </c>
      <c r="B1116" s="2" t="e">
        <f t="shared" ca="1" si="25"/>
        <v>#N/A</v>
      </c>
      <c r="C1116" s="1">
        <v>1116</v>
      </c>
      <c r="D1116" s="1" t="s">
        <v>2216</v>
      </c>
      <c r="E1116" s="1" t="s">
        <v>2217</v>
      </c>
    </row>
    <row r="1117" spans="1:5" ht="25">
      <c r="A1117" s="2">
        <f ca="1">IF(COUNTIF($AA$1:$BXX$24,1117) = 0,RAND(),RAND()-1)</f>
        <v>0.93670879080547453</v>
      </c>
      <c r="B1117" s="2" t="e">
        <f t="shared" ca="1" si="25"/>
        <v>#N/A</v>
      </c>
      <c r="C1117" s="1">
        <v>1117</v>
      </c>
      <c r="D1117" s="1" t="s">
        <v>2218</v>
      </c>
      <c r="E1117" s="1" t="s">
        <v>2219</v>
      </c>
    </row>
    <row r="1118" spans="1:5" ht="25">
      <c r="A1118" s="2">
        <f ca="1">IF(COUNTIF($AA$1:$BXX$24,1118) = 0,RAND(),RAND()-1)</f>
        <v>1.1467558428802427E-2</v>
      </c>
      <c r="B1118" s="2" t="e">
        <f t="shared" ca="1" si="25"/>
        <v>#N/A</v>
      </c>
      <c r="C1118" s="1">
        <v>1118</v>
      </c>
      <c r="D1118" s="1" t="s">
        <v>2220</v>
      </c>
      <c r="E1118" s="1" t="s">
        <v>2221</v>
      </c>
    </row>
    <row r="1119" spans="1:5" ht="25">
      <c r="A1119" s="2">
        <f ca="1">IF(COUNTIF($AA$1:$BXX$24,1119) = 0,RAND(),RAND()-1)</f>
        <v>0.22991966772129524</v>
      </c>
      <c r="B1119" s="2" t="e">
        <f t="shared" ca="1" si="25"/>
        <v>#N/A</v>
      </c>
      <c r="C1119" s="1">
        <v>1119</v>
      </c>
      <c r="D1119" s="1" t="s">
        <v>2222</v>
      </c>
      <c r="E1119" s="1" t="s">
        <v>2223</v>
      </c>
    </row>
    <row r="1120" spans="1:5" ht="25">
      <c r="A1120" s="2">
        <f ca="1">IF(COUNTIF($AA$1:$BXX$24,1120) = 0,RAND(),RAND()-1)</f>
        <v>0.67792118607252094</v>
      </c>
      <c r="B1120" s="2" t="e">
        <f t="shared" ca="1" si="25"/>
        <v>#N/A</v>
      </c>
      <c r="C1120" s="1">
        <v>1120</v>
      </c>
      <c r="D1120" s="1" t="s">
        <v>2224</v>
      </c>
      <c r="E1120" s="1" t="s">
        <v>2225</v>
      </c>
    </row>
    <row r="1121" spans="1:5" ht="25">
      <c r="A1121" s="2">
        <f ca="1">IF(COUNTIF($AA$1:$BXX$24,1121) = 0,RAND(),RAND()-1)</f>
        <v>0.55426580756967747</v>
      </c>
      <c r="B1121" s="2" t="e">
        <f t="shared" ca="1" si="25"/>
        <v>#N/A</v>
      </c>
      <c r="C1121" s="1">
        <v>1121</v>
      </c>
      <c r="D1121" s="1" t="s">
        <v>2226</v>
      </c>
      <c r="E1121" s="1" t="s">
        <v>2227</v>
      </c>
    </row>
    <row r="1122" spans="1:5" ht="25">
      <c r="A1122" s="2">
        <f ca="1">IF(COUNTIF($AA$1:$BXX$24,1122) = 0,RAND(),RAND()-1)</f>
        <v>6.5317127504324946E-2</v>
      </c>
      <c r="B1122" s="2" t="e">
        <f t="shared" ca="1" si="25"/>
        <v>#N/A</v>
      </c>
      <c r="C1122" s="1">
        <v>1122</v>
      </c>
      <c r="D1122" s="1" t="s">
        <v>2228</v>
      </c>
      <c r="E1122" s="1" t="s">
        <v>2229</v>
      </c>
    </row>
    <row r="1123" spans="1:5" ht="25">
      <c r="A1123" s="2">
        <f ca="1">IF(COUNTIF($AA$1:$BXX$24,1123) = 0,RAND(),RAND()-1)</f>
        <v>0.71990203570073596</v>
      </c>
      <c r="B1123" s="2" t="e">
        <f t="shared" ca="1" si="25"/>
        <v>#N/A</v>
      </c>
      <c r="C1123" s="1">
        <v>1123</v>
      </c>
      <c r="D1123" s="1" t="s">
        <v>2230</v>
      </c>
      <c r="E1123" s="1" t="s">
        <v>2231</v>
      </c>
    </row>
    <row r="1124" spans="1:5" ht="25">
      <c r="A1124" s="2">
        <f ca="1">IF(COUNTIF($AA$1:$BXX$24,1124) = 0,RAND(),RAND()-1)</f>
        <v>0.97313346726129002</v>
      </c>
      <c r="B1124" s="2" t="e">
        <f t="shared" ca="1" si="25"/>
        <v>#N/A</v>
      </c>
      <c r="C1124" s="1">
        <v>1124</v>
      </c>
      <c r="D1124" s="1" t="s">
        <v>2232</v>
      </c>
      <c r="E1124" s="1" t="s">
        <v>570</v>
      </c>
    </row>
    <row r="1125" spans="1:5" ht="25">
      <c r="A1125" s="2">
        <f ca="1">IF(COUNTIF($AA$1:$BXX$24,1125) = 0,RAND(),RAND()-1)</f>
        <v>0.75394892014239012</v>
      </c>
      <c r="B1125" s="2" t="e">
        <f t="shared" ca="1" si="25"/>
        <v>#N/A</v>
      </c>
      <c r="C1125" s="1">
        <v>1125</v>
      </c>
      <c r="D1125" s="1" t="s">
        <v>2233</v>
      </c>
      <c r="E1125" s="1" t="s">
        <v>2234</v>
      </c>
    </row>
    <row r="1126" spans="1:5" ht="25">
      <c r="A1126" s="2">
        <f ca="1">IF(COUNTIF($AA$1:$BXX$24,1126) = 0,RAND(),RAND()-1)</f>
        <v>0.79001787375296306</v>
      </c>
      <c r="B1126" s="2" t="e">
        <f t="shared" ca="1" si="25"/>
        <v>#N/A</v>
      </c>
      <c r="C1126" s="1">
        <v>1126</v>
      </c>
      <c r="D1126" s="1" t="s">
        <v>2235</v>
      </c>
      <c r="E1126" s="1" t="s">
        <v>2236</v>
      </c>
    </row>
    <row r="1127" spans="1:5" ht="25">
      <c r="A1127" s="2">
        <f ca="1">IF(COUNTIF($AA$1:$BXX$24,1127) = 0,RAND(),RAND()-1)</f>
        <v>0.78603722296391398</v>
      </c>
      <c r="B1127" s="2" t="e">
        <f t="shared" ca="1" si="25"/>
        <v>#N/A</v>
      </c>
      <c r="C1127" s="1">
        <v>1127</v>
      </c>
      <c r="D1127" s="1" t="s">
        <v>2237</v>
      </c>
      <c r="E1127" s="1" t="s">
        <v>2238</v>
      </c>
    </row>
    <row r="1128" spans="1:5" ht="25">
      <c r="A1128" s="2">
        <f ca="1">IF(COUNTIF($AA$1:$BXX$24,1128) = 0,RAND(),RAND()-1)</f>
        <v>0.89132728167614395</v>
      </c>
      <c r="B1128" s="2" t="e">
        <f t="shared" ca="1" si="25"/>
        <v>#N/A</v>
      </c>
      <c r="C1128" s="1">
        <v>1128</v>
      </c>
      <c r="D1128" s="1" t="s">
        <v>2239</v>
      </c>
      <c r="E1128" s="1" t="s">
        <v>2240</v>
      </c>
    </row>
    <row r="1129" spans="1:5" ht="25">
      <c r="A1129" s="2">
        <f ca="1">IF(COUNTIF($AA$1:$BXX$24,1129) = 0,RAND(),RAND()-1)</f>
        <v>8.9527767779484901E-2</v>
      </c>
      <c r="B1129" s="2" t="e">
        <f t="shared" ca="1" si="25"/>
        <v>#N/A</v>
      </c>
      <c r="C1129" s="1">
        <v>1129</v>
      </c>
      <c r="D1129" s="1" t="s">
        <v>2241</v>
      </c>
      <c r="E1129" s="1" t="s">
        <v>1176</v>
      </c>
    </row>
    <row r="1130" spans="1:5" ht="25">
      <c r="A1130" s="2">
        <f ca="1">IF(COUNTIF($AA$1:$BXX$24,1130) = 0,RAND(),RAND()-1)</f>
        <v>0.95333754637941059</v>
      </c>
      <c r="B1130" s="2" t="e">
        <f t="shared" ca="1" si="25"/>
        <v>#N/A</v>
      </c>
      <c r="C1130" s="1">
        <v>1130</v>
      </c>
      <c r="D1130" s="1" t="s">
        <v>2242</v>
      </c>
      <c r="E1130" s="1" t="s">
        <v>2243</v>
      </c>
    </row>
    <row r="1131" spans="1:5" ht="25">
      <c r="A1131" s="2">
        <f ca="1">IF(COUNTIF($AA$1:$BXX$24,1131) = 0,RAND(),RAND()-1)</f>
        <v>0.3301040318766143</v>
      </c>
      <c r="B1131" s="2" t="e">
        <f t="shared" ca="1" si="25"/>
        <v>#N/A</v>
      </c>
      <c r="C1131" s="1">
        <v>1131</v>
      </c>
      <c r="D1131" s="1" t="s">
        <v>2244</v>
      </c>
      <c r="E1131" s="1" t="s">
        <v>1053</v>
      </c>
    </row>
    <row r="1132" spans="1:5" ht="25">
      <c r="A1132" s="2">
        <f ca="1">IF(COUNTIF($AA$1:$BXX$24,1132) = 0,RAND(),RAND()-1)</f>
        <v>0.38214666387246687</v>
      </c>
      <c r="B1132" s="2" t="e">
        <f t="shared" ca="1" si="25"/>
        <v>#N/A</v>
      </c>
      <c r="C1132" s="1">
        <v>1132</v>
      </c>
      <c r="D1132" s="1" t="s">
        <v>2245</v>
      </c>
      <c r="E1132" s="1" t="s">
        <v>2246</v>
      </c>
    </row>
    <row r="1133" spans="1:5" ht="25">
      <c r="A1133" s="2">
        <f ca="1">IF(COUNTIF($AA$1:$BXX$24,1133) = 0,RAND(),RAND()-1)</f>
        <v>0.39258636859878127</v>
      </c>
      <c r="B1133" s="2" t="e">
        <f t="shared" ca="1" si="25"/>
        <v>#N/A</v>
      </c>
      <c r="C1133" s="1">
        <v>1133</v>
      </c>
      <c r="D1133" s="1" t="s">
        <v>2247</v>
      </c>
      <c r="E1133" s="1" t="s">
        <v>2248</v>
      </c>
    </row>
    <row r="1134" spans="1:5" ht="25">
      <c r="A1134" s="2">
        <f ca="1">IF(COUNTIF($AA$1:$BXX$24,1134) = 0,RAND(),RAND()-1)</f>
        <v>0.37147241654658592</v>
      </c>
      <c r="B1134" s="2" t="e">
        <f t="shared" ca="1" si="25"/>
        <v>#N/A</v>
      </c>
      <c r="C1134" s="1">
        <v>1134</v>
      </c>
      <c r="D1134" s="1" t="s">
        <v>2249</v>
      </c>
      <c r="E1134" s="1" t="s">
        <v>2250</v>
      </c>
    </row>
    <row r="1135" spans="1:5" ht="25">
      <c r="A1135" s="2">
        <f ca="1">IF(COUNTIF($AA$1:$BXX$24,1135) = 0,RAND(),RAND()-1)</f>
        <v>0.65306384547259633</v>
      </c>
      <c r="B1135" s="2" t="e">
        <f t="shared" ca="1" si="25"/>
        <v>#N/A</v>
      </c>
      <c r="C1135" s="1">
        <v>1135</v>
      </c>
      <c r="D1135" s="1" t="s">
        <v>2251</v>
      </c>
      <c r="E1135" s="1" t="s">
        <v>2252</v>
      </c>
    </row>
    <row r="1136" spans="1:5" ht="25">
      <c r="A1136" s="2">
        <f ca="1">IF(COUNTIF($AA$1:$BXX$24,1136) = 0,RAND(),RAND()-1)</f>
        <v>5.0312655436036247E-2</v>
      </c>
      <c r="B1136" s="2" t="e">
        <f t="shared" ca="1" si="25"/>
        <v>#N/A</v>
      </c>
      <c r="C1136" s="1">
        <v>1136</v>
      </c>
      <c r="D1136" s="1" t="s">
        <v>2253</v>
      </c>
      <c r="E1136" s="1" t="s">
        <v>2254</v>
      </c>
    </row>
    <row r="1137" spans="1:5" ht="25">
      <c r="A1137" s="2">
        <f ca="1">IF(COUNTIF($AA$1:$BXX$24,1137) = 0,RAND(),RAND()-1)</f>
        <v>0.48478890228515514</v>
      </c>
      <c r="B1137" s="2" t="e">
        <f t="shared" ca="1" si="25"/>
        <v>#N/A</v>
      </c>
      <c r="C1137" s="1">
        <v>1137</v>
      </c>
      <c r="D1137" s="1" t="s">
        <v>2255</v>
      </c>
      <c r="E1137" s="1" t="s">
        <v>2256</v>
      </c>
    </row>
    <row r="1138" spans="1:5" ht="25">
      <c r="A1138" s="2">
        <f ca="1">IF(COUNTIF($AA$1:$BXX$24,1138) = 0,RAND(),RAND()-1)</f>
        <v>0.96337176346951481</v>
      </c>
      <c r="B1138" s="2" t="e">
        <f t="shared" ca="1" si="25"/>
        <v>#N/A</v>
      </c>
      <c r="C1138" s="1">
        <v>1138</v>
      </c>
      <c r="D1138" s="1" t="s">
        <v>2257</v>
      </c>
      <c r="E1138" s="1" t="s">
        <v>2258</v>
      </c>
    </row>
    <row r="1139" spans="1:5" ht="25">
      <c r="A1139" s="2">
        <f ca="1">IF(COUNTIF($AA$1:$BXX$24,1139) = 0,RAND(),RAND()-1)</f>
        <v>0.2884340046904077</v>
      </c>
      <c r="B1139" s="2" t="e">
        <f t="shared" ca="1" si="25"/>
        <v>#N/A</v>
      </c>
      <c r="C1139" s="1">
        <v>1139</v>
      </c>
      <c r="D1139" s="1" t="s">
        <v>2259</v>
      </c>
      <c r="E1139" s="1" t="s">
        <v>2260</v>
      </c>
    </row>
    <row r="1140" spans="1:5" ht="25">
      <c r="A1140" s="2">
        <f ca="1">IF(COUNTIF($AA$1:$BXX$24,1140) = 0,RAND(),RAND()-1)</f>
        <v>0.10257010712261283</v>
      </c>
      <c r="B1140" s="2" t="e">
        <f t="shared" ca="1" si="25"/>
        <v>#N/A</v>
      </c>
      <c r="C1140" s="1">
        <v>1140</v>
      </c>
      <c r="D1140" s="1" t="s">
        <v>2261</v>
      </c>
      <c r="E1140" s="1" t="s">
        <v>2262</v>
      </c>
    </row>
    <row r="1141" spans="1:5" ht="25">
      <c r="A1141" s="2">
        <f ca="1">IF(COUNTIF($AA$1:$BXX$24,1141) = 0,RAND(),RAND()-1)</f>
        <v>0.98498995464915196</v>
      </c>
      <c r="B1141" s="2" t="e">
        <f t="shared" ca="1" si="25"/>
        <v>#N/A</v>
      </c>
      <c r="C1141" s="1">
        <v>1141</v>
      </c>
      <c r="D1141" s="1" t="s">
        <v>2263</v>
      </c>
      <c r="E1141" s="1" t="s">
        <v>2264</v>
      </c>
    </row>
    <row r="1142" spans="1:5" ht="25">
      <c r="A1142" s="2">
        <f ca="1">IF(COUNTIF($AA$1:$BXX$24,1142) = 0,RAND(),RAND()-1)</f>
        <v>0.17733915243778087</v>
      </c>
      <c r="B1142" s="2" t="e">
        <f t="shared" ca="1" si="25"/>
        <v>#N/A</v>
      </c>
      <c r="C1142" s="1">
        <v>1142</v>
      </c>
      <c r="D1142" s="1" t="s">
        <v>2265</v>
      </c>
      <c r="E1142" s="1" t="s">
        <v>2266</v>
      </c>
    </row>
    <row r="1143" spans="1:5" ht="25">
      <c r="A1143" s="2">
        <f ca="1">IF(COUNTIF($AA$1:$BXX$24,1143) = 0,RAND(),RAND()-1)</f>
        <v>0.85166976540654171</v>
      </c>
      <c r="B1143" s="2" t="e">
        <f t="shared" ca="1" si="25"/>
        <v>#N/A</v>
      </c>
      <c r="C1143" s="1">
        <v>1143</v>
      </c>
      <c r="D1143" s="1" t="s">
        <v>2267</v>
      </c>
      <c r="E1143" s="1" t="s">
        <v>2268</v>
      </c>
    </row>
    <row r="1144" spans="1:5" ht="25">
      <c r="A1144" s="2">
        <f ca="1">IF(COUNTIF($AA$1:$BXX$24,1144) = 0,RAND(),RAND()-1)</f>
        <v>0.45620960433461188</v>
      </c>
      <c r="B1144" s="2" t="e">
        <f t="shared" ca="1" si="25"/>
        <v>#N/A</v>
      </c>
      <c r="C1144" s="1">
        <v>1144</v>
      </c>
      <c r="D1144" s="1" t="s">
        <v>2269</v>
      </c>
      <c r="E1144" s="1" t="s">
        <v>2270</v>
      </c>
    </row>
    <row r="1145" spans="1:5" ht="25">
      <c r="A1145" s="2">
        <f ca="1">IF(COUNTIF($AA$1:$BXX$24,1145) = 0,RAND(),RAND()-1)</f>
        <v>0.18159948943838433</v>
      </c>
      <c r="B1145" s="2" t="e">
        <f t="shared" ca="1" si="25"/>
        <v>#N/A</v>
      </c>
      <c r="C1145" s="1">
        <v>1145</v>
      </c>
      <c r="D1145" s="1" t="s">
        <v>2271</v>
      </c>
      <c r="E1145" s="1" t="s">
        <v>2272</v>
      </c>
    </row>
    <row r="1146" spans="1:5" ht="25">
      <c r="A1146" s="2">
        <f ca="1">IF(COUNTIF($AA$1:$BXX$24,1146) = 0,RAND(),RAND()-1)</f>
        <v>0.11389947838312608</v>
      </c>
      <c r="B1146" s="2" t="e">
        <f t="shared" ca="1" si="25"/>
        <v>#N/A</v>
      </c>
      <c r="C1146" s="1">
        <v>1146</v>
      </c>
      <c r="D1146" s="1" t="s">
        <v>2273</v>
      </c>
      <c r="E1146" s="1" t="s">
        <v>2274</v>
      </c>
    </row>
    <row r="1147" spans="1:5" ht="25">
      <c r="A1147" s="2">
        <f ca="1">IF(COUNTIF($AA$1:$BXX$24,1147) = 0,RAND(),RAND()-1)</f>
        <v>0.46437325839129839</v>
      </c>
      <c r="B1147" s="2" t="e">
        <f t="shared" ca="1" si="25"/>
        <v>#N/A</v>
      </c>
      <c r="C1147" s="1">
        <v>1147</v>
      </c>
      <c r="D1147" s="1" t="s">
        <v>2275</v>
      </c>
      <c r="E1147" s="1" t="s">
        <v>2276</v>
      </c>
    </row>
    <row r="1148" spans="1:5" ht="25">
      <c r="A1148" s="2">
        <f ca="1">IF(COUNTIF($AA$1:$BXX$24,1148) = 0,RAND(),RAND()-1)</f>
        <v>0.75791432400496506</v>
      </c>
      <c r="B1148" s="2" t="e">
        <f t="shared" ca="1" si="25"/>
        <v>#N/A</v>
      </c>
      <c r="C1148" s="1">
        <v>1148</v>
      </c>
      <c r="D1148" s="1" t="s">
        <v>2277</v>
      </c>
      <c r="E1148" s="1" t="s">
        <v>2278</v>
      </c>
    </row>
    <row r="1149" spans="1:5" ht="25">
      <c r="A1149" s="2">
        <f ca="1">IF(COUNTIF($AA$1:$BXX$24,1149) = 0,RAND(),RAND()-1)</f>
        <v>0.8106366732909035</v>
      </c>
      <c r="B1149" s="2" t="e">
        <f t="shared" ca="1" si="25"/>
        <v>#N/A</v>
      </c>
      <c r="C1149" s="1">
        <v>1149</v>
      </c>
      <c r="D1149" s="1" t="s">
        <v>2279</v>
      </c>
      <c r="E1149" s="1" t="s">
        <v>2280</v>
      </c>
    </row>
    <row r="1150" spans="1:5" ht="25">
      <c r="A1150" s="2">
        <f ca="1">IF(COUNTIF($AA$1:$BXX$24,1150) = 0,RAND(),RAND()-1)</f>
        <v>0.84680825853626085</v>
      </c>
      <c r="B1150" s="2" t="e">
        <f t="shared" ca="1" si="25"/>
        <v>#N/A</v>
      </c>
      <c r="C1150" s="1">
        <v>1150</v>
      </c>
      <c r="D1150" s="1" t="s">
        <v>2281</v>
      </c>
      <c r="E1150" s="1" t="s">
        <v>2282</v>
      </c>
    </row>
    <row r="1151" spans="1:5" ht="25">
      <c r="A1151" s="2">
        <f ca="1">IF(COUNTIF($AA$1:$BXX$24,1151) = 0,RAND(),RAND()-1)</f>
        <v>0.31766725732556844</v>
      </c>
      <c r="B1151" s="2" t="e">
        <f t="shared" ca="1" si="25"/>
        <v>#N/A</v>
      </c>
      <c r="C1151" s="1">
        <v>1151</v>
      </c>
      <c r="D1151" s="1" t="s">
        <v>2283</v>
      </c>
      <c r="E1151" s="1" t="s">
        <v>2284</v>
      </c>
    </row>
    <row r="1152" spans="1:5" ht="25">
      <c r="A1152" s="2">
        <f ca="1">IF(COUNTIF($AA$1:$BXX$24,1152) = 0,RAND(),RAND()-1)</f>
        <v>0.67771649729909655</v>
      </c>
      <c r="B1152" s="2" t="e">
        <f t="shared" ca="1" si="25"/>
        <v>#N/A</v>
      </c>
      <c r="C1152" s="1">
        <v>1152</v>
      </c>
      <c r="D1152" s="1" t="s">
        <v>2285</v>
      </c>
      <c r="E1152" s="1" t="s">
        <v>2286</v>
      </c>
    </row>
    <row r="1153" spans="1:5" ht="25">
      <c r="A1153" s="2">
        <f ca="1">IF(COUNTIF($AA$1:$BXX$24,1153) = 0,RAND(),RAND()-1)</f>
        <v>0.67224001080120521</v>
      </c>
      <c r="B1153" s="2" t="e">
        <f t="shared" ref="B1153:B1216" ca="1" si="26">RANK(A1153,OFFSET($A$1,$G$1-1,0,$G$2-$G$1+1))</f>
        <v>#N/A</v>
      </c>
      <c r="C1153" s="1">
        <v>1153</v>
      </c>
      <c r="D1153" s="1" t="s">
        <v>2287</v>
      </c>
      <c r="E1153" s="1" t="s">
        <v>2288</v>
      </c>
    </row>
    <row r="1154" spans="1:5" ht="25">
      <c r="A1154" s="2">
        <f ca="1">IF(COUNTIF($AA$1:$BXX$24,1154) = 0,RAND(),RAND()-1)</f>
        <v>0.45288168788823835</v>
      </c>
      <c r="B1154" s="2" t="e">
        <f t="shared" ca="1" si="26"/>
        <v>#N/A</v>
      </c>
      <c r="C1154" s="1">
        <v>1154</v>
      </c>
      <c r="D1154" s="1" t="s">
        <v>2289</v>
      </c>
      <c r="E1154" s="1" t="s">
        <v>2290</v>
      </c>
    </row>
    <row r="1155" spans="1:5" ht="25">
      <c r="A1155" s="2">
        <f ca="1">IF(COUNTIF($AA$1:$BXX$24,1155) = 0,RAND(),RAND()-1)</f>
        <v>0.94313461834354784</v>
      </c>
      <c r="B1155" s="2" t="e">
        <f t="shared" ca="1" si="26"/>
        <v>#N/A</v>
      </c>
      <c r="C1155" s="1">
        <v>1155</v>
      </c>
      <c r="D1155" s="1" t="s">
        <v>2291</v>
      </c>
      <c r="E1155" s="1" t="s">
        <v>2292</v>
      </c>
    </row>
    <row r="1156" spans="1:5" ht="25">
      <c r="A1156" s="2">
        <f ca="1">IF(COUNTIF($AA$1:$BXX$24,1156) = 0,RAND(),RAND()-1)</f>
        <v>0.14408983825617727</v>
      </c>
      <c r="B1156" s="2" t="e">
        <f t="shared" ca="1" si="26"/>
        <v>#N/A</v>
      </c>
      <c r="C1156" s="1">
        <v>1156</v>
      </c>
      <c r="D1156" s="1" t="s">
        <v>2293</v>
      </c>
      <c r="E1156" s="1" t="s">
        <v>2294</v>
      </c>
    </row>
    <row r="1157" spans="1:5" ht="25">
      <c r="A1157" s="2">
        <f ca="1">IF(COUNTIF($AA$1:$BXX$24,1157) = 0,RAND(),RAND()-1)</f>
        <v>0.45739272161316091</v>
      </c>
      <c r="B1157" s="2" t="e">
        <f t="shared" ca="1" si="26"/>
        <v>#N/A</v>
      </c>
      <c r="C1157" s="1">
        <v>1157</v>
      </c>
      <c r="D1157" s="1" t="s">
        <v>2295</v>
      </c>
      <c r="E1157" s="1" t="s">
        <v>2296</v>
      </c>
    </row>
    <row r="1158" spans="1:5" ht="25">
      <c r="A1158" s="2">
        <f ca="1">IF(COUNTIF($AA$1:$BXX$24,1158) = 0,RAND(),RAND()-1)</f>
        <v>0.21911208084858402</v>
      </c>
      <c r="B1158" s="2" t="e">
        <f t="shared" ca="1" si="26"/>
        <v>#N/A</v>
      </c>
      <c r="C1158" s="1">
        <v>1158</v>
      </c>
      <c r="D1158" s="1" t="s">
        <v>2297</v>
      </c>
      <c r="E1158" s="1" t="s">
        <v>2298</v>
      </c>
    </row>
    <row r="1159" spans="1:5" ht="25">
      <c r="A1159" s="2">
        <f ca="1">IF(COUNTIF($AA$1:$BXX$24,1159) = 0,RAND(),RAND()-1)</f>
        <v>0.5943268249284932</v>
      </c>
      <c r="B1159" s="2" t="e">
        <f t="shared" ca="1" si="26"/>
        <v>#N/A</v>
      </c>
      <c r="C1159" s="1">
        <v>1159</v>
      </c>
      <c r="D1159" s="1" t="s">
        <v>2299</v>
      </c>
      <c r="E1159" s="1" t="s">
        <v>2300</v>
      </c>
    </row>
    <row r="1160" spans="1:5" ht="25">
      <c r="A1160" s="2">
        <f ca="1">IF(COUNTIF($AA$1:$BXX$24,1160) = 0,RAND(),RAND()-1)</f>
        <v>0.99884279282200028</v>
      </c>
      <c r="B1160" s="2" t="e">
        <f t="shared" ca="1" si="26"/>
        <v>#N/A</v>
      </c>
      <c r="C1160" s="1">
        <v>1160</v>
      </c>
      <c r="D1160" s="1" t="s">
        <v>2301</v>
      </c>
      <c r="E1160" s="1" t="s">
        <v>2302</v>
      </c>
    </row>
    <row r="1161" spans="1:5" ht="25">
      <c r="A1161" s="2">
        <f ca="1">IF(COUNTIF($AA$1:$BXX$24,1161) = 0,RAND(),RAND()-1)</f>
        <v>0.13966133462400787</v>
      </c>
      <c r="B1161" s="2" t="e">
        <f t="shared" ca="1" si="26"/>
        <v>#N/A</v>
      </c>
      <c r="C1161" s="1">
        <v>1161</v>
      </c>
      <c r="D1161" s="1" t="s">
        <v>2303</v>
      </c>
      <c r="E1161" s="1" t="s">
        <v>2304</v>
      </c>
    </row>
    <row r="1162" spans="1:5" ht="25">
      <c r="A1162" s="2">
        <f ca="1">IF(COUNTIF($AA$1:$BXX$24,1162) = 0,RAND(),RAND()-1)</f>
        <v>0.36523275730809968</v>
      </c>
      <c r="B1162" s="2" t="e">
        <f t="shared" ca="1" si="26"/>
        <v>#N/A</v>
      </c>
      <c r="C1162" s="1">
        <v>1162</v>
      </c>
      <c r="D1162" s="1" t="s">
        <v>2305</v>
      </c>
      <c r="E1162" s="1" t="s">
        <v>2306</v>
      </c>
    </row>
    <row r="1163" spans="1:5" ht="25">
      <c r="A1163" s="2">
        <f ca="1">IF(COUNTIF($AA$1:$BXX$24,1163) = 0,RAND(),RAND()-1)</f>
        <v>0.31798458498305093</v>
      </c>
      <c r="B1163" s="2" t="e">
        <f t="shared" ca="1" si="26"/>
        <v>#N/A</v>
      </c>
      <c r="C1163" s="1">
        <v>1163</v>
      </c>
      <c r="D1163" s="1" t="s">
        <v>2307</v>
      </c>
      <c r="E1163" s="1" t="s">
        <v>2308</v>
      </c>
    </row>
    <row r="1164" spans="1:5" ht="25">
      <c r="A1164" s="2">
        <f ca="1">IF(COUNTIF($AA$1:$BXX$24,1164) = 0,RAND(),RAND()-1)</f>
        <v>0.1164159723177749</v>
      </c>
      <c r="B1164" s="2" t="e">
        <f t="shared" ca="1" si="26"/>
        <v>#N/A</v>
      </c>
      <c r="C1164" s="1">
        <v>1164</v>
      </c>
      <c r="D1164" s="1" t="s">
        <v>2309</v>
      </c>
      <c r="E1164" s="1" t="s">
        <v>2310</v>
      </c>
    </row>
    <row r="1165" spans="1:5" ht="25">
      <c r="A1165" s="2">
        <f ca="1">IF(COUNTIF($AA$1:$BXX$24,1165) = 0,RAND(),RAND()-1)</f>
        <v>0.10834292036512738</v>
      </c>
      <c r="B1165" s="2" t="e">
        <f t="shared" ca="1" si="26"/>
        <v>#N/A</v>
      </c>
      <c r="C1165" s="1">
        <v>1165</v>
      </c>
      <c r="D1165" s="1" t="s">
        <v>2311</v>
      </c>
      <c r="E1165" s="1" t="s">
        <v>2312</v>
      </c>
    </row>
    <row r="1166" spans="1:5" ht="25">
      <c r="A1166" s="2">
        <f ca="1">IF(COUNTIF($AA$1:$BXX$24,1166) = 0,RAND(),RAND()-1)</f>
        <v>0.25137404337987013</v>
      </c>
      <c r="B1166" s="2" t="e">
        <f t="shared" ca="1" si="26"/>
        <v>#N/A</v>
      </c>
      <c r="C1166" s="1">
        <v>1166</v>
      </c>
      <c r="D1166" s="1" t="s">
        <v>2313</v>
      </c>
      <c r="E1166" s="1" t="s">
        <v>2314</v>
      </c>
    </row>
    <row r="1167" spans="1:5" ht="25">
      <c r="A1167" s="2">
        <f ca="1">IF(COUNTIF($AA$1:$BXX$24,1167) = 0,RAND(),RAND()-1)</f>
        <v>5.4496467255272352E-2</v>
      </c>
      <c r="B1167" s="2" t="e">
        <f t="shared" ca="1" si="26"/>
        <v>#N/A</v>
      </c>
      <c r="C1167" s="1">
        <v>1167</v>
      </c>
      <c r="D1167" s="1" t="s">
        <v>2315</v>
      </c>
      <c r="E1167" s="1" t="s">
        <v>2316</v>
      </c>
    </row>
    <row r="1168" spans="1:5" ht="25">
      <c r="A1168" s="2">
        <f ca="1">IF(COUNTIF($AA$1:$BXX$24,1168) = 0,RAND(),RAND()-1)</f>
        <v>0.54361507619496541</v>
      </c>
      <c r="B1168" s="2" t="e">
        <f t="shared" ca="1" si="26"/>
        <v>#N/A</v>
      </c>
      <c r="C1168" s="1">
        <v>1168</v>
      </c>
      <c r="D1168" s="1" t="s">
        <v>2317</v>
      </c>
      <c r="E1168" s="1" t="s">
        <v>2318</v>
      </c>
    </row>
    <row r="1169" spans="1:5" ht="25">
      <c r="A1169" s="2">
        <f ca="1">IF(COUNTIF($AA$1:$BXX$24,1169) = 0,RAND(),RAND()-1)</f>
        <v>0.970692238503438</v>
      </c>
      <c r="B1169" s="2" t="e">
        <f t="shared" ca="1" si="26"/>
        <v>#N/A</v>
      </c>
      <c r="C1169" s="1">
        <v>1169</v>
      </c>
      <c r="D1169" s="1" t="s">
        <v>2319</v>
      </c>
      <c r="E1169" s="1" t="s">
        <v>2320</v>
      </c>
    </row>
    <row r="1170" spans="1:5" ht="25">
      <c r="A1170" s="2">
        <f ca="1">IF(COUNTIF($AA$1:$BXX$24,1170) = 0,RAND(),RAND()-1)</f>
        <v>0.86301947376712496</v>
      </c>
      <c r="B1170" s="2" t="e">
        <f t="shared" ca="1" si="26"/>
        <v>#N/A</v>
      </c>
      <c r="C1170" s="1">
        <v>1170</v>
      </c>
      <c r="D1170" s="1" t="s">
        <v>2321</v>
      </c>
      <c r="E1170" s="1" t="s">
        <v>2322</v>
      </c>
    </row>
    <row r="1171" spans="1:5" ht="25">
      <c r="A1171" s="2">
        <f ca="1">IF(COUNTIF($AA$1:$BXX$24,1171) = 0,RAND(),RAND()-1)</f>
        <v>0.67992623952942399</v>
      </c>
      <c r="B1171" s="2" t="e">
        <f t="shared" ca="1" si="26"/>
        <v>#N/A</v>
      </c>
      <c r="C1171" s="1">
        <v>1171</v>
      </c>
      <c r="D1171" s="1" t="s">
        <v>2323</v>
      </c>
      <c r="E1171" s="1" t="s">
        <v>2324</v>
      </c>
    </row>
    <row r="1172" spans="1:5" ht="25">
      <c r="A1172" s="2">
        <f ca="1">IF(COUNTIF($AA$1:$BXX$24,1172) = 0,RAND(),RAND()-1)</f>
        <v>0.23811356602294542</v>
      </c>
      <c r="B1172" s="2" t="e">
        <f t="shared" ca="1" si="26"/>
        <v>#N/A</v>
      </c>
      <c r="C1172" s="1">
        <v>1172</v>
      </c>
      <c r="D1172" s="1" t="s">
        <v>2325</v>
      </c>
      <c r="E1172" s="1" t="s">
        <v>2326</v>
      </c>
    </row>
    <row r="1173" spans="1:5" ht="25">
      <c r="A1173" s="2">
        <f ca="1">IF(COUNTIF($AA$1:$BXX$24,1173) = 0,RAND(),RAND()-1)</f>
        <v>0.13611443315203098</v>
      </c>
      <c r="B1173" s="2" t="e">
        <f t="shared" ca="1" si="26"/>
        <v>#N/A</v>
      </c>
      <c r="C1173" s="1">
        <v>1173</v>
      </c>
      <c r="D1173" s="1" t="s">
        <v>2327</v>
      </c>
      <c r="E1173" s="1" t="s">
        <v>2328</v>
      </c>
    </row>
    <row r="1174" spans="1:5" ht="25">
      <c r="A1174" s="2">
        <f ca="1">IF(COUNTIF($AA$1:$BXX$24,1174) = 0,RAND(),RAND()-1)</f>
        <v>0.4710789039628458</v>
      </c>
      <c r="B1174" s="2" t="e">
        <f t="shared" ca="1" si="26"/>
        <v>#N/A</v>
      </c>
      <c r="C1174" s="1">
        <v>1174</v>
      </c>
      <c r="D1174" s="1" t="s">
        <v>2329</v>
      </c>
      <c r="E1174" s="1" t="s">
        <v>2330</v>
      </c>
    </row>
    <row r="1175" spans="1:5" ht="25">
      <c r="A1175" s="2">
        <f ca="1">IF(COUNTIF($AA$1:$BXX$24,1175) = 0,RAND(),RAND()-1)</f>
        <v>0.42652172039306535</v>
      </c>
      <c r="B1175" s="2" t="e">
        <f t="shared" ca="1" si="26"/>
        <v>#N/A</v>
      </c>
      <c r="C1175" s="1">
        <v>1175</v>
      </c>
      <c r="D1175" s="1" t="s">
        <v>2331</v>
      </c>
      <c r="E1175" s="1" t="s">
        <v>1164</v>
      </c>
    </row>
    <row r="1176" spans="1:5" ht="25">
      <c r="A1176" s="2">
        <f ca="1">IF(COUNTIF($AA$1:$BXX$24,1176) = 0,RAND(),RAND()-1)</f>
        <v>0.21344217466354254</v>
      </c>
      <c r="B1176" s="2" t="e">
        <f t="shared" ca="1" si="26"/>
        <v>#N/A</v>
      </c>
      <c r="C1176" s="1">
        <v>1176</v>
      </c>
      <c r="D1176" s="1" t="s">
        <v>2332</v>
      </c>
      <c r="E1176" s="1" t="s">
        <v>2333</v>
      </c>
    </row>
    <row r="1177" spans="1:5" ht="25">
      <c r="A1177" s="2">
        <f ca="1">IF(COUNTIF($AA$1:$BXX$24,1177) = 0,RAND(),RAND()-1)</f>
        <v>0.90534599170577057</v>
      </c>
      <c r="B1177" s="2" t="e">
        <f t="shared" ca="1" si="26"/>
        <v>#N/A</v>
      </c>
      <c r="C1177" s="1">
        <v>1177</v>
      </c>
      <c r="D1177" s="1" t="s">
        <v>2334</v>
      </c>
      <c r="E1177" s="1" t="s">
        <v>2335</v>
      </c>
    </row>
    <row r="1178" spans="1:5" ht="25">
      <c r="A1178" s="2">
        <f ca="1">IF(COUNTIF($AA$1:$BXX$24,1178) = 0,RAND(),RAND()-1)</f>
        <v>0.77413267810803521</v>
      </c>
      <c r="B1178" s="2" t="e">
        <f t="shared" ca="1" si="26"/>
        <v>#N/A</v>
      </c>
      <c r="C1178" s="1">
        <v>1178</v>
      </c>
      <c r="D1178" s="1" t="s">
        <v>2336</v>
      </c>
      <c r="E1178" s="1" t="s">
        <v>574</v>
      </c>
    </row>
    <row r="1179" spans="1:5" ht="25">
      <c r="A1179" s="2">
        <f ca="1">IF(COUNTIF($AA$1:$BXX$24,1179) = 0,RAND(),RAND()-1)</f>
        <v>0.94338324619248004</v>
      </c>
      <c r="B1179" s="2" t="e">
        <f t="shared" ca="1" si="26"/>
        <v>#N/A</v>
      </c>
      <c r="C1179" s="1">
        <v>1179</v>
      </c>
      <c r="D1179" s="1" t="s">
        <v>2337</v>
      </c>
      <c r="E1179" s="1" t="s">
        <v>2338</v>
      </c>
    </row>
    <row r="1180" spans="1:5" ht="25">
      <c r="A1180" s="2">
        <f ca="1">IF(COUNTIF($AA$1:$BXX$24,1180) = 0,RAND(),RAND()-1)</f>
        <v>0.59787220750986814</v>
      </c>
      <c r="B1180" s="2" t="e">
        <f t="shared" ca="1" si="26"/>
        <v>#N/A</v>
      </c>
      <c r="C1180" s="1">
        <v>1180</v>
      </c>
      <c r="D1180" s="1" t="s">
        <v>2339</v>
      </c>
      <c r="E1180" s="1" t="s">
        <v>590</v>
      </c>
    </row>
    <row r="1181" spans="1:5" ht="25">
      <c r="A1181" s="2">
        <f ca="1">IF(COUNTIF($AA$1:$BXX$24,1181) = 0,RAND(),RAND()-1)</f>
        <v>0.96400103756188793</v>
      </c>
      <c r="B1181" s="2" t="e">
        <f t="shared" ca="1" si="26"/>
        <v>#N/A</v>
      </c>
      <c r="C1181" s="1">
        <v>1181</v>
      </c>
      <c r="D1181" s="1" t="s">
        <v>2340</v>
      </c>
      <c r="E1181" s="1" t="s">
        <v>2341</v>
      </c>
    </row>
    <row r="1182" spans="1:5" ht="25">
      <c r="A1182" s="2">
        <f ca="1">IF(COUNTIF($AA$1:$BXX$24,1182) = 0,RAND(),RAND()-1)</f>
        <v>0.68358606705849478</v>
      </c>
      <c r="B1182" s="2" t="e">
        <f t="shared" ca="1" si="26"/>
        <v>#N/A</v>
      </c>
      <c r="C1182" s="1">
        <v>1182</v>
      </c>
      <c r="D1182" s="1" t="s">
        <v>2342</v>
      </c>
      <c r="E1182" s="1" t="s">
        <v>2343</v>
      </c>
    </row>
    <row r="1183" spans="1:5" ht="25">
      <c r="A1183" s="2">
        <f ca="1">IF(COUNTIF($AA$1:$BXX$24,1183) = 0,RAND(),RAND()-1)</f>
        <v>0.31381494275541877</v>
      </c>
      <c r="B1183" s="2" t="e">
        <f t="shared" ca="1" si="26"/>
        <v>#N/A</v>
      </c>
      <c r="C1183" s="1">
        <v>1183</v>
      </c>
      <c r="D1183" s="1" t="s">
        <v>2344</v>
      </c>
      <c r="E1183" s="1" t="s">
        <v>2345</v>
      </c>
    </row>
    <row r="1184" spans="1:5" ht="25">
      <c r="A1184" s="2">
        <f ca="1">IF(COUNTIF($AA$1:$BXX$24,1184) = 0,RAND(),RAND()-1)</f>
        <v>0.91221904510733065</v>
      </c>
      <c r="B1184" s="2" t="e">
        <f t="shared" ca="1" si="26"/>
        <v>#N/A</v>
      </c>
      <c r="C1184" s="1">
        <v>1184</v>
      </c>
      <c r="D1184" s="1" t="s">
        <v>2346</v>
      </c>
      <c r="E1184" s="1" t="s">
        <v>2347</v>
      </c>
    </row>
    <row r="1185" spans="1:5" ht="25">
      <c r="A1185" s="2">
        <f ca="1">IF(COUNTIF($AA$1:$BXX$24,1185) = 0,RAND(),RAND()-1)</f>
        <v>0.15286709751408845</v>
      </c>
      <c r="B1185" s="2" t="e">
        <f t="shared" ca="1" si="26"/>
        <v>#N/A</v>
      </c>
      <c r="C1185" s="1">
        <v>1185</v>
      </c>
      <c r="D1185" s="1" t="s">
        <v>2348</v>
      </c>
      <c r="E1185" s="1" t="s">
        <v>1658</v>
      </c>
    </row>
    <row r="1186" spans="1:5" ht="25">
      <c r="A1186" s="2">
        <f ca="1">IF(COUNTIF($AA$1:$BXX$24,1186) = 0,RAND(),RAND()-1)</f>
        <v>0.92421705223154782</v>
      </c>
      <c r="B1186" s="2" t="e">
        <f t="shared" ca="1" si="26"/>
        <v>#N/A</v>
      </c>
      <c r="C1186" s="1">
        <v>1186</v>
      </c>
      <c r="D1186" s="1" t="s">
        <v>2349</v>
      </c>
      <c r="E1186" s="1" t="s">
        <v>2350</v>
      </c>
    </row>
    <row r="1187" spans="1:5" ht="25">
      <c r="A1187" s="2">
        <f ca="1">IF(COUNTIF($AA$1:$BXX$24,1187) = 0,RAND(),RAND()-1)</f>
        <v>0.7804813884904539</v>
      </c>
      <c r="B1187" s="2" t="e">
        <f t="shared" ca="1" si="26"/>
        <v>#N/A</v>
      </c>
      <c r="C1187" s="1">
        <v>1187</v>
      </c>
      <c r="D1187" s="1" t="s">
        <v>2351</v>
      </c>
      <c r="E1187" s="1" t="s">
        <v>2352</v>
      </c>
    </row>
    <row r="1188" spans="1:5" ht="25">
      <c r="A1188" s="2">
        <f ca="1">IF(COUNTIF($AA$1:$BXX$24,1188) = 0,RAND(),RAND()-1)</f>
        <v>0.61565107527719176</v>
      </c>
      <c r="B1188" s="2" t="e">
        <f t="shared" ca="1" si="26"/>
        <v>#N/A</v>
      </c>
      <c r="C1188" s="1">
        <v>1188</v>
      </c>
      <c r="D1188" s="1" t="s">
        <v>2353</v>
      </c>
      <c r="E1188" s="1" t="s">
        <v>2354</v>
      </c>
    </row>
    <row r="1189" spans="1:5" ht="25">
      <c r="A1189" s="2">
        <f ca="1">IF(COUNTIF($AA$1:$BXX$24,1189) = 0,RAND(),RAND()-1)</f>
        <v>0.93493914367623898</v>
      </c>
      <c r="B1189" s="2" t="e">
        <f t="shared" ca="1" si="26"/>
        <v>#N/A</v>
      </c>
      <c r="C1189" s="1">
        <v>1189</v>
      </c>
      <c r="D1189" s="1" t="s">
        <v>2355</v>
      </c>
      <c r="E1189" s="1" t="s">
        <v>2356</v>
      </c>
    </row>
    <row r="1190" spans="1:5" ht="25">
      <c r="A1190" s="2">
        <f ca="1">IF(COUNTIF($AA$1:$BXX$24,1190) = 0,RAND(),RAND()-1)</f>
        <v>0.64104960407181255</v>
      </c>
      <c r="B1190" s="2" t="e">
        <f t="shared" ca="1" si="26"/>
        <v>#N/A</v>
      </c>
      <c r="C1190" s="1">
        <v>1190</v>
      </c>
      <c r="D1190" s="1" t="s">
        <v>2357</v>
      </c>
      <c r="E1190" s="1" t="s">
        <v>2358</v>
      </c>
    </row>
    <row r="1191" spans="1:5" ht="25">
      <c r="A1191" s="2">
        <f ca="1">IF(COUNTIF($AA$1:$BXX$24,1191) = 0,RAND(),RAND()-1)</f>
        <v>0.45594132817799504</v>
      </c>
      <c r="B1191" s="2" t="e">
        <f t="shared" ca="1" si="26"/>
        <v>#N/A</v>
      </c>
      <c r="C1191" s="1">
        <v>1191</v>
      </c>
      <c r="D1191" s="1" t="s">
        <v>2359</v>
      </c>
      <c r="E1191" s="1" t="s">
        <v>2360</v>
      </c>
    </row>
    <row r="1192" spans="1:5" ht="25">
      <c r="A1192" s="2">
        <f ca="1">IF(COUNTIF($AA$1:$BXX$24,1192) = 0,RAND(),RAND()-1)</f>
        <v>0.28921072638370049</v>
      </c>
      <c r="B1192" s="2" t="e">
        <f t="shared" ca="1" si="26"/>
        <v>#N/A</v>
      </c>
      <c r="C1192" s="1">
        <v>1192</v>
      </c>
      <c r="D1192" s="1" t="s">
        <v>2361</v>
      </c>
      <c r="E1192" s="1" t="s">
        <v>2362</v>
      </c>
    </row>
    <row r="1193" spans="1:5" ht="25">
      <c r="A1193" s="2">
        <f ca="1">IF(COUNTIF($AA$1:$BXX$24,1193) = 0,RAND(),RAND()-1)</f>
        <v>0.64899289460104825</v>
      </c>
      <c r="B1193" s="2" t="e">
        <f t="shared" ca="1" si="26"/>
        <v>#N/A</v>
      </c>
      <c r="C1193" s="1">
        <v>1193</v>
      </c>
      <c r="D1193" s="1" t="s">
        <v>2363</v>
      </c>
      <c r="E1193" s="1" t="s">
        <v>2364</v>
      </c>
    </row>
    <row r="1194" spans="1:5" ht="25">
      <c r="A1194" s="2">
        <f ca="1">IF(COUNTIF($AA$1:$BXX$24,1194) = 0,RAND(),RAND()-1)</f>
        <v>0.24444233397557757</v>
      </c>
      <c r="B1194" s="2" t="e">
        <f t="shared" ca="1" si="26"/>
        <v>#N/A</v>
      </c>
      <c r="C1194" s="1">
        <v>1194</v>
      </c>
      <c r="D1194" s="1" t="s">
        <v>2365</v>
      </c>
      <c r="E1194" s="1" t="s">
        <v>650</v>
      </c>
    </row>
    <row r="1195" spans="1:5" ht="25">
      <c r="A1195" s="2">
        <f ca="1">IF(COUNTIF($AA$1:$BXX$24,1195) = 0,RAND(),RAND()-1)</f>
        <v>0.77372951528468581</v>
      </c>
      <c r="B1195" s="2" t="e">
        <f t="shared" ca="1" si="26"/>
        <v>#N/A</v>
      </c>
      <c r="C1195" s="1">
        <v>1195</v>
      </c>
      <c r="D1195" s="1" t="s">
        <v>2366</v>
      </c>
      <c r="E1195" s="1" t="s">
        <v>2367</v>
      </c>
    </row>
    <row r="1196" spans="1:5" ht="25">
      <c r="A1196" s="2">
        <f ca="1">IF(COUNTIF($AA$1:$BXX$24,1196) = 0,RAND(),RAND()-1)</f>
        <v>0.14713741833040939</v>
      </c>
      <c r="B1196" s="2" t="e">
        <f t="shared" ca="1" si="26"/>
        <v>#N/A</v>
      </c>
      <c r="C1196" s="1">
        <v>1196</v>
      </c>
      <c r="D1196" s="1" t="s">
        <v>2368</v>
      </c>
      <c r="E1196" s="1" t="s">
        <v>2369</v>
      </c>
    </row>
    <row r="1197" spans="1:5" ht="25">
      <c r="A1197" s="2">
        <f ca="1">IF(COUNTIF($AA$1:$BXX$24,1197) = 0,RAND(),RAND()-1)</f>
        <v>0.25483919602114491</v>
      </c>
      <c r="B1197" s="2" t="e">
        <f t="shared" ca="1" si="26"/>
        <v>#N/A</v>
      </c>
      <c r="C1197" s="1">
        <v>1197</v>
      </c>
      <c r="D1197" s="1" t="s">
        <v>2370</v>
      </c>
      <c r="E1197" s="1" t="s">
        <v>2371</v>
      </c>
    </row>
    <row r="1198" spans="1:5" ht="25">
      <c r="A1198" s="2">
        <f ca="1">IF(COUNTIF($AA$1:$BXX$24,1198) = 0,RAND(),RAND()-1)</f>
        <v>0.493155938055164</v>
      </c>
      <c r="B1198" s="2" t="e">
        <f t="shared" ca="1" si="26"/>
        <v>#N/A</v>
      </c>
      <c r="C1198" s="1">
        <v>1198</v>
      </c>
      <c r="D1198" s="1" t="s">
        <v>2372</v>
      </c>
      <c r="E1198" s="1" t="s">
        <v>1201</v>
      </c>
    </row>
    <row r="1199" spans="1:5" ht="25">
      <c r="A1199" s="2">
        <f ca="1">IF(COUNTIF($AA$1:$BXX$24,1199) = 0,RAND(),RAND()-1)</f>
        <v>0.25214331572779003</v>
      </c>
      <c r="B1199" s="2" t="e">
        <f t="shared" ca="1" si="26"/>
        <v>#N/A</v>
      </c>
      <c r="C1199" s="1">
        <v>1199</v>
      </c>
      <c r="D1199" s="1" t="s">
        <v>2373</v>
      </c>
      <c r="E1199" s="1" t="s">
        <v>2374</v>
      </c>
    </row>
    <row r="1200" spans="1:5" ht="25">
      <c r="A1200" s="2">
        <f ca="1">IF(COUNTIF($AA$1:$BXX$24,1200) = 0,RAND(),RAND()-1)</f>
        <v>0.96137840826009269</v>
      </c>
      <c r="B1200" s="2" t="e">
        <f t="shared" ca="1" si="26"/>
        <v>#N/A</v>
      </c>
      <c r="C1200" s="1">
        <v>1200</v>
      </c>
      <c r="D1200" s="1" t="s">
        <v>2375</v>
      </c>
      <c r="E1200" s="1" t="s">
        <v>2376</v>
      </c>
    </row>
    <row r="1201" spans="1:5" ht="25">
      <c r="A1201" s="2">
        <f ca="1">IF(COUNTIF($AA$1:$BXX$24,1201) = 0,RAND(),RAND()-1)</f>
        <v>0.26433195025339862</v>
      </c>
      <c r="B1201" s="2" t="e">
        <f t="shared" ca="1" si="26"/>
        <v>#N/A</v>
      </c>
      <c r="C1201" s="1">
        <v>1201</v>
      </c>
      <c r="D1201" s="1" t="s">
        <v>2377</v>
      </c>
      <c r="E1201" s="1" t="s">
        <v>2378</v>
      </c>
    </row>
    <row r="1202" spans="1:5" ht="25">
      <c r="A1202" s="2">
        <f ca="1">IF(COUNTIF($AA$1:$BXX$24,1202) = 0,RAND(),RAND()-1)</f>
        <v>0.66980557482517167</v>
      </c>
      <c r="B1202" s="2" t="e">
        <f t="shared" ca="1" si="26"/>
        <v>#N/A</v>
      </c>
      <c r="C1202" s="1">
        <v>1202</v>
      </c>
      <c r="D1202" s="1" t="s">
        <v>2379</v>
      </c>
      <c r="E1202" s="1" t="s">
        <v>2380</v>
      </c>
    </row>
    <row r="1203" spans="1:5" ht="25">
      <c r="A1203" s="2">
        <f ca="1">IF(COUNTIF($AA$1:$BXX$24,1203) = 0,RAND(),RAND()-1)</f>
        <v>0.83996727794157788</v>
      </c>
      <c r="B1203" s="2" t="e">
        <f t="shared" ca="1" si="26"/>
        <v>#N/A</v>
      </c>
      <c r="C1203" s="1">
        <v>1203</v>
      </c>
      <c r="D1203" s="1" t="s">
        <v>2381</v>
      </c>
      <c r="E1203" s="1" t="s">
        <v>2382</v>
      </c>
    </row>
    <row r="1204" spans="1:5" ht="25">
      <c r="A1204" s="2">
        <f ca="1">IF(COUNTIF($AA$1:$BXX$24,1204) = 0,RAND(),RAND()-1)</f>
        <v>0.87495616687711031</v>
      </c>
      <c r="B1204" s="2" t="e">
        <f t="shared" ca="1" si="26"/>
        <v>#N/A</v>
      </c>
      <c r="C1204" s="1">
        <v>1204</v>
      </c>
      <c r="D1204" s="1" t="s">
        <v>2383</v>
      </c>
      <c r="E1204" s="1" t="s">
        <v>2384</v>
      </c>
    </row>
    <row r="1205" spans="1:5" ht="25">
      <c r="A1205" s="2">
        <f ca="1">IF(COUNTIF($AA$1:$BXX$24,1205) = 0,RAND(),RAND()-1)</f>
        <v>0.14537178226832326</v>
      </c>
      <c r="B1205" s="2" t="e">
        <f t="shared" ca="1" si="26"/>
        <v>#N/A</v>
      </c>
      <c r="C1205" s="1">
        <v>1205</v>
      </c>
      <c r="D1205" s="1" t="s">
        <v>2385</v>
      </c>
      <c r="E1205" s="1" t="s">
        <v>2386</v>
      </c>
    </row>
    <row r="1206" spans="1:5" ht="25">
      <c r="A1206" s="2">
        <f ca="1">IF(COUNTIF($AA$1:$BXX$24,1206) = 0,RAND(),RAND()-1)</f>
        <v>0.13690086373780996</v>
      </c>
      <c r="B1206" s="2" t="e">
        <f t="shared" ca="1" si="26"/>
        <v>#N/A</v>
      </c>
      <c r="C1206" s="1">
        <v>1206</v>
      </c>
      <c r="D1206" s="1" t="s">
        <v>2387</v>
      </c>
      <c r="E1206" s="1" t="s">
        <v>2388</v>
      </c>
    </row>
    <row r="1207" spans="1:5" ht="25">
      <c r="A1207" s="2">
        <f ca="1">IF(COUNTIF($AA$1:$BXX$24,1207) = 0,RAND(),RAND()-1)</f>
        <v>0.67880752463770311</v>
      </c>
      <c r="B1207" s="2" t="e">
        <f t="shared" ca="1" si="26"/>
        <v>#N/A</v>
      </c>
      <c r="C1207" s="1">
        <v>1207</v>
      </c>
      <c r="D1207" s="1" t="s">
        <v>2389</v>
      </c>
      <c r="E1207" s="1" t="s">
        <v>2390</v>
      </c>
    </row>
    <row r="1208" spans="1:5" ht="25">
      <c r="A1208" s="2">
        <f ca="1">IF(COUNTIF($AA$1:$BXX$24,1208) = 0,RAND(),RAND()-1)</f>
        <v>0.91518819172480292</v>
      </c>
      <c r="B1208" s="2" t="e">
        <f t="shared" ca="1" si="26"/>
        <v>#N/A</v>
      </c>
      <c r="C1208" s="1">
        <v>1208</v>
      </c>
      <c r="D1208" s="1" t="s">
        <v>2391</v>
      </c>
      <c r="E1208" s="1" t="s">
        <v>2392</v>
      </c>
    </row>
    <row r="1209" spans="1:5" ht="25">
      <c r="A1209" s="2">
        <f ca="1">IF(COUNTIF($AA$1:$BXX$24,1209) = 0,RAND(),RAND()-1)</f>
        <v>0.58267904117015656</v>
      </c>
      <c r="B1209" s="2" t="e">
        <f t="shared" ca="1" si="26"/>
        <v>#N/A</v>
      </c>
      <c r="C1209" s="1">
        <v>1209</v>
      </c>
      <c r="D1209" s="1" t="s">
        <v>2393</v>
      </c>
      <c r="E1209" s="1" t="s">
        <v>2394</v>
      </c>
    </row>
    <row r="1210" spans="1:5" ht="25">
      <c r="A1210" s="2">
        <f ca="1">IF(COUNTIF($AA$1:$BXX$24,1210) = 0,RAND(),RAND()-1)</f>
        <v>0.30447102149703742</v>
      </c>
      <c r="B1210" s="2" t="e">
        <f t="shared" ca="1" si="26"/>
        <v>#N/A</v>
      </c>
      <c r="C1210" s="1">
        <v>1210</v>
      </c>
      <c r="D1210" s="1" t="s">
        <v>2395</v>
      </c>
      <c r="E1210" s="1" t="s">
        <v>2396</v>
      </c>
    </row>
    <row r="1211" spans="1:5" ht="25">
      <c r="A1211" s="2">
        <f ca="1">IF(COUNTIF($AA$1:$BXX$24,1211) = 0,RAND(),RAND()-1)</f>
        <v>6.6579276194778103E-3</v>
      </c>
      <c r="B1211" s="2" t="e">
        <f t="shared" ca="1" si="26"/>
        <v>#N/A</v>
      </c>
      <c r="C1211" s="1">
        <v>1211</v>
      </c>
      <c r="D1211" s="1" t="s">
        <v>2397</v>
      </c>
      <c r="E1211" s="1" t="s">
        <v>2398</v>
      </c>
    </row>
    <row r="1212" spans="1:5" ht="25">
      <c r="A1212" s="2">
        <f ca="1">IF(COUNTIF($AA$1:$BXX$24,1212) = 0,RAND(),RAND()-1)</f>
        <v>0.39281787953264968</v>
      </c>
      <c r="B1212" s="2" t="e">
        <f t="shared" ca="1" si="26"/>
        <v>#N/A</v>
      </c>
      <c r="C1212" s="1">
        <v>1212</v>
      </c>
      <c r="D1212" s="1" t="s">
        <v>2399</v>
      </c>
      <c r="E1212" s="1" t="s">
        <v>2400</v>
      </c>
    </row>
    <row r="1213" spans="1:5" ht="25">
      <c r="A1213" s="2">
        <f ca="1">IF(COUNTIF($AA$1:$BXX$24,1213) = 0,RAND(),RAND()-1)</f>
        <v>0.77974232662411447</v>
      </c>
      <c r="B1213" s="2" t="e">
        <f t="shared" ca="1" si="26"/>
        <v>#N/A</v>
      </c>
      <c r="C1213" s="1">
        <v>1213</v>
      </c>
      <c r="D1213" s="1" t="s">
        <v>2401</v>
      </c>
      <c r="E1213" s="1" t="s">
        <v>2402</v>
      </c>
    </row>
    <row r="1214" spans="1:5" ht="25">
      <c r="A1214" s="2">
        <f ca="1">IF(COUNTIF($AA$1:$BXX$24,1214) = 0,RAND(),RAND()-1)</f>
        <v>0.88895337006354591</v>
      </c>
      <c r="B1214" s="2" t="e">
        <f t="shared" ca="1" si="26"/>
        <v>#N/A</v>
      </c>
      <c r="C1214" s="1">
        <v>1214</v>
      </c>
      <c r="D1214" s="1" t="s">
        <v>2403</v>
      </c>
      <c r="E1214" s="1" t="s">
        <v>2404</v>
      </c>
    </row>
    <row r="1215" spans="1:5" ht="25">
      <c r="A1215" s="2">
        <f ca="1">IF(COUNTIF($AA$1:$BXX$24,1215) = 0,RAND(),RAND()-1)</f>
        <v>0.87467802981400433</v>
      </c>
      <c r="B1215" s="2" t="e">
        <f t="shared" ca="1" si="26"/>
        <v>#N/A</v>
      </c>
      <c r="C1215" s="1">
        <v>1215</v>
      </c>
      <c r="D1215" s="1" t="s">
        <v>2405</v>
      </c>
      <c r="E1215" s="1" t="s">
        <v>2406</v>
      </c>
    </row>
    <row r="1216" spans="1:5" ht="25">
      <c r="A1216" s="2">
        <f ca="1">IF(COUNTIF($AA$1:$BXX$24,1216) = 0,RAND(),RAND()-1)</f>
        <v>0.33934142992206806</v>
      </c>
      <c r="B1216" s="2" t="e">
        <f t="shared" ca="1" si="26"/>
        <v>#N/A</v>
      </c>
      <c r="C1216" s="1">
        <v>1216</v>
      </c>
      <c r="D1216" s="1" t="s">
        <v>2407</v>
      </c>
      <c r="E1216" s="1" t="s">
        <v>2408</v>
      </c>
    </row>
    <row r="1217" spans="1:5" ht="25">
      <c r="A1217" s="2">
        <f ca="1">IF(COUNTIF($AA$1:$BXX$24,1217) = 0,RAND(),RAND()-1)</f>
        <v>0.10887355180394798</v>
      </c>
      <c r="B1217" s="2" t="e">
        <f t="shared" ref="B1217:B1280" ca="1" si="27">RANK(A1217,OFFSET($A$1,$G$1-1,0,$G$2-$G$1+1))</f>
        <v>#N/A</v>
      </c>
      <c r="C1217" s="1">
        <v>1217</v>
      </c>
      <c r="D1217" s="1" t="s">
        <v>2409</v>
      </c>
      <c r="E1217" s="1" t="s">
        <v>2410</v>
      </c>
    </row>
    <row r="1218" spans="1:5" ht="25">
      <c r="A1218" s="2">
        <f ca="1">IF(COUNTIF($AA$1:$BXX$24,1218) = 0,RAND(),RAND()-1)</f>
        <v>0.16103439915621209</v>
      </c>
      <c r="B1218" s="2" t="e">
        <f t="shared" ca="1" si="27"/>
        <v>#N/A</v>
      </c>
      <c r="C1218" s="1">
        <v>1218</v>
      </c>
      <c r="D1218" s="1" t="s">
        <v>2411</v>
      </c>
      <c r="E1218" s="1" t="s">
        <v>2412</v>
      </c>
    </row>
    <row r="1219" spans="1:5" ht="25">
      <c r="A1219" s="2">
        <f ca="1">IF(COUNTIF($AA$1:$BXX$24,1219) = 0,RAND(),RAND()-1)</f>
        <v>0.7140877921528066</v>
      </c>
      <c r="B1219" s="2" t="e">
        <f t="shared" ca="1" si="27"/>
        <v>#N/A</v>
      </c>
      <c r="C1219" s="1">
        <v>1219</v>
      </c>
      <c r="D1219" s="1" t="s">
        <v>2413</v>
      </c>
      <c r="E1219" s="1" t="s">
        <v>2414</v>
      </c>
    </row>
    <row r="1220" spans="1:5" ht="25">
      <c r="A1220" s="2">
        <f ca="1">IF(COUNTIF($AA$1:$BXX$24,1220) = 0,RAND(),RAND()-1)</f>
        <v>0.72858916946347807</v>
      </c>
      <c r="B1220" s="2" t="e">
        <f t="shared" ca="1" si="27"/>
        <v>#N/A</v>
      </c>
      <c r="C1220" s="1">
        <v>1220</v>
      </c>
      <c r="D1220" s="1" t="s">
        <v>2415</v>
      </c>
      <c r="E1220" s="1" t="s">
        <v>2416</v>
      </c>
    </row>
    <row r="1221" spans="1:5" ht="25">
      <c r="A1221" s="2">
        <f ca="1">IF(COUNTIF($AA$1:$BXX$24,1221) = 0,RAND(),RAND()-1)</f>
        <v>0.88590338918483769</v>
      </c>
      <c r="B1221" s="2" t="e">
        <f t="shared" ca="1" si="27"/>
        <v>#N/A</v>
      </c>
      <c r="C1221" s="1">
        <v>1221</v>
      </c>
      <c r="D1221" s="1" t="s">
        <v>2417</v>
      </c>
      <c r="E1221" s="1" t="s">
        <v>2418</v>
      </c>
    </row>
    <row r="1222" spans="1:5" ht="25">
      <c r="A1222" s="2">
        <f ca="1">IF(COUNTIF($AA$1:$BXX$24,1222) = 0,RAND(),RAND()-1)</f>
        <v>0.77970186563571375</v>
      </c>
      <c r="B1222" s="2" t="e">
        <f t="shared" ca="1" si="27"/>
        <v>#N/A</v>
      </c>
      <c r="C1222" s="1">
        <v>1222</v>
      </c>
      <c r="D1222" s="1" t="s">
        <v>2419</v>
      </c>
      <c r="E1222" s="1" t="s">
        <v>2420</v>
      </c>
    </row>
    <row r="1223" spans="1:5" ht="25">
      <c r="A1223" s="2">
        <f ca="1">IF(COUNTIF($AA$1:$BXX$24,1223) = 0,RAND(),RAND()-1)</f>
        <v>0.95048607932467832</v>
      </c>
      <c r="B1223" s="2" t="e">
        <f t="shared" ca="1" si="27"/>
        <v>#N/A</v>
      </c>
      <c r="C1223" s="1">
        <v>1223</v>
      </c>
      <c r="D1223" s="1" t="s">
        <v>2421</v>
      </c>
      <c r="E1223" s="1" t="s">
        <v>2422</v>
      </c>
    </row>
    <row r="1224" spans="1:5" ht="25">
      <c r="A1224" s="2">
        <f ca="1">IF(COUNTIF($AA$1:$BXX$24,1224) = 0,RAND(),RAND()-1)</f>
        <v>0.47342587812632086</v>
      </c>
      <c r="B1224" s="2" t="e">
        <f t="shared" ca="1" si="27"/>
        <v>#N/A</v>
      </c>
      <c r="C1224" s="1">
        <v>1224</v>
      </c>
      <c r="D1224" s="1" t="s">
        <v>2423</v>
      </c>
      <c r="E1224" s="1" t="s">
        <v>2424</v>
      </c>
    </row>
    <row r="1225" spans="1:5" ht="25">
      <c r="A1225" s="2">
        <f ca="1">IF(COUNTIF($AA$1:$BXX$24,1225) = 0,RAND(),RAND()-1)</f>
        <v>0.18097691577642538</v>
      </c>
      <c r="B1225" s="2" t="e">
        <f t="shared" ca="1" si="27"/>
        <v>#N/A</v>
      </c>
      <c r="C1225" s="1">
        <v>1225</v>
      </c>
      <c r="D1225" s="1" t="s">
        <v>2425</v>
      </c>
      <c r="E1225" s="1" t="s">
        <v>2426</v>
      </c>
    </row>
    <row r="1226" spans="1:5" ht="25">
      <c r="A1226" s="2">
        <f ca="1">IF(COUNTIF($AA$1:$BXX$24,1226) = 0,RAND(),RAND()-1)</f>
        <v>0.88034912113605268</v>
      </c>
      <c r="B1226" s="2" t="e">
        <f t="shared" ca="1" si="27"/>
        <v>#N/A</v>
      </c>
      <c r="C1226" s="1">
        <v>1226</v>
      </c>
      <c r="D1226" s="1" t="s">
        <v>2427</v>
      </c>
      <c r="E1226" s="1" t="s">
        <v>2428</v>
      </c>
    </row>
    <row r="1227" spans="1:5" ht="25">
      <c r="A1227" s="2">
        <f ca="1">IF(COUNTIF($AA$1:$BXX$24,1227) = 0,RAND(),RAND()-1)</f>
        <v>0.64253732085374915</v>
      </c>
      <c r="B1227" s="2" t="e">
        <f t="shared" ca="1" si="27"/>
        <v>#N/A</v>
      </c>
      <c r="C1227" s="1">
        <v>1227</v>
      </c>
      <c r="D1227" s="1" t="s">
        <v>2429</v>
      </c>
      <c r="E1227" s="1" t="s">
        <v>2430</v>
      </c>
    </row>
    <row r="1228" spans="1:5" ht="25">
      <c r="A1228" s="2">
        <f ca="1">IF(COUNTIF($AA$1:$BXX$24,1228) = 0,RAND(),RAND()-1)</f>
        <v>0.76574153937873068</v>
      </c>
      <c r="B1228" s="2" t="e">
        <f t="shared" ca="1" si="27"/>
        <v>#N/A</v>
      </c>
      <c r="C1228" s="1">
        <v>1228</v>
      </c>
      <c r="D1228" s="1" t="s">
        <v>2431</v>
      </c>
      <c r="E1228" s="1" t="s">
        <v>2432</v>
      </c>
    </row>
    <row r="1229" spans="1:5" ht="25">
      <c r="A1229" s="2">
        <f ca="1">IF(COUNTIF($AA$1:$BXX$24,1229) = 0,RAND(),RAND()-1)</f>
        <v>0.5882226627329995</v>
      </c>
      <c r="B1229" s="2" t="e">
        <f t="shared" ca="1" si="27"/>
        <v>#N/A</v>
      </c>
      <c r="C1229" s="1">
        <v>1229</v>
      </c>
      <c r="D1229" s="1" t="s">
        <v>2433</v>
      </c>
      <c r="E1229" s="1" t="s">
        <v>2434</v>
      </c>
    </row>
    <row r="1230" spans="1:5" ht="25">
      <c r="A1230" s="2">
        <f ca="1">IF(COUNTIF($AA$1:$BXX$24,1230) = 0,RAND(),RAND()-1)</f>
        <v>0.14882004203312316</v>
      </c>
      <c r="B1230" s="2" t="e">
        <f t="shared" ca="1" si="27"/>
        <v>#N/A</v>
      </c>
      <c r="C1230" s="1">
        <v>1230</v>
      </c>
      <c r="D1230" s="1" t="s">
        <v>2435</v>
      </c>
      <c r="E1230" s="1" t="s">
        <v>2436</v>
      </c>
    </row>
    <row r="1231" spans="1:5" ht="25">
      <c r="A1231" s="2">
        <f ca="1">IF(COUNTIF($AA$1:$BXX$24,1231) = 0,RAND(),RAND()-1)</f>
        <v>0.71353928652804666</v>
      </c>
      <c r="B1231" s="2" t="e">
        <f t="shared" ca="1" si="27"/>
        <v>#N/A</v>
      </c>
      <c r="C1231" s="1">
        <v>1231</v>
      </c>
      <c r="D1231" s="1" t="s">
        <v>2437</v>
      </c>
      <c r="E1231" s="1" t="s">
        <v>2438</v>
      </c>
    </row>
    <row r="1232" spans="1:5" ht="25">
      <c r="A1232" s="2">
        <f ca="1">IF(COUNTIF($AA$1:$BXX$24,1232) = 0,RAND(),RAND()-1)</f>
        <v>0.52975453929767702</v>
      </c>
      <c r="B1232" s="2" t="e">
        <f t="shared" ca="1" si="27"/>
        <v>#N/A</v>
      </c>
      <c r="C1232" s="1">
        <v>1232</v>
      </c>
      <c r="D1232" s="1" t="s">
        <v>2439</v>
      </c>
      <c r="E1232" s="1" t="s">
        <v>2440</v>
      </c>
    </row>
    <row r="1233" spans="1:5" ht="25">
      <c r="A1233" s="2">
        <f ca="1">IF(COUNTIF($AA$1:$BXX$24,1233) = 0,RAND(),RAND()-1)</f>
        <v>0.87942343405502421</v>
      </c>
      <c r="B1233" s="2" t="e">
        <f t="shared" ca="1" si="27"/>
        <v>#N/A</v>
      </c>
      <c r="C1233" s="1">
        <v>1233</v>
      </c>
      <c r="D1233" s="1" t="s">
        <v>2441</v>
      </c>
      <c r="E1233" s="1" t="s">
        <v>2442</v>
      </c>
    </row>
    <row r="1234" spans="1:5" ht="25">
      <c r="A1234" s="2">
        <f ca="1">IF(COUNTIF($AA$1:$BXX$24,1234) = 0,RAND(),RAND()-1)</f>
        <v>0.44914164463678297</v>
      </c>
      <c r="B1234" s="2" t="e">
        <f t="shared" ca="1" si="27"/>
        <v>#N/A</v>
      </c>
      <c r="C1234" s="1">
        <v>1234</v>
      </c>
      <c r="D1234" s="1" t="s">
        <v>2443</v>
      </c>
      <c r="E1234" s="1" t="s">
        <v>2444</v>
      </c>
    </row>
    <row r="1235" spans="1:5" ht="25">
      <c r="A1235" s="2">
        <f ca="1">IF(COUNTIF($AA$1:$BXX$24,1235) = 0,RAND(),RAND()-1)</f>
        <v>0.68217833577469222</v>
      </c>
      <c r="B1235" s="2" t="e">
        <f t="shared" ca="1" si="27"/>
        <v>#N/A</v>
      </c>
      <c r="C1235" s="1">
        <v>1235</v>
      </c>
      <c r="D1235" s="1" t="s">
        <v>2445</v>
      </c>
      <c r="E1235" s="1" t="s">
        <v>2446</v>
      </c>
    </row>
    <row r="1236" spans="1:5" ht="25">
      <c r="A1236" s="2">
        <f ca="1">IF(COUNTIF($AA$1:$BXX$24,1236) = 0,RAND(),RAND()-1)</f>
        <v>0.12084516611786567</v>
      </c>
      <c r="B1236" s="2" t="e">
        <f t="shared" ca="1" si="27"/>
        <v>#N/A</v>
      </c>
      <c r="C1236" s="1">
        <v>1236</v>
      </c>
      <c r="D1236" s="1" t="s">
        <v>2447</v>
      </c>
      <c r="E1236" s="1" t="s">
        <v>2448</v>
      </c>
    </row>
    <row r="1237" spans="1:5" ht="25">
      <c r="A1237" s="2">
        <f ca="1">IF(COUNTIF($AA$1:$BXX$24,1237) = 0,RAND(),RAND()-1)</f>
        <v>0.54218637398301206</v>
      </c>
      <c r="B1237" s="2" t="e">
        <f t="shared" ca="1" si="27"/>
        <v>#N/A</v>
      </c>
      <c r="C1237" s="1">
        <v>1237</v>
      </c>
      <c r="D1237" s="1" t="s">
        <v>2449</v>
      </c>
      <c r="E1237" s="1" t="s">
        <v>2450</v>
      </c>
    </row>
    <row r="1238" spans="1:5" ht="25">
      <c r="A1238" s="2">
        <f ca="1">IF(COUNTIF($AA$1:$BXX$24,1238) = 0,RAND(),RAND()-1)</f>
        <v>0.36998876525448265</v>
      </c>
      <c r="B1238" s="2" t="e">
        <f t="shared" ca="1" si="27"/>
        <v>#N/A</v>
      </c>
      <c r="C1238" s="1">
        <v>1238</v>
      </c>
      <c r="D1238" s="1" t="s">
        <v>2451</v>
      </c>
      <c r="E1238" s="1" t="s">
        <v>2452</v>
      </c>
    </row>
    <row r="1239" spans="1:5" ht="25">
      <c r="A1239" s="2">
        <f ca="1">IF(COUNTIF($AA$1:$BXX$24,1239) = 0,RAND(),RAND()-1)</f>
        <v>0.39729553057453326</v>
      </c>
      <c r="B1239" s="2" t="e">
        <f t="shared" ca="1" si="27"/>
        <v>#N/A</v>
      </c>
      <c r="C1239" s="1">
        <v>1239</v>
      </c>
      <c r="D1239" s="1" t="s">
        <v>2453</v>
      </c>
      <c r="E1239" s="1" t="s">
        <v>2454</v>
      </c>
    </row>
    <row r="1240" spans="1:5" ht="25">
      <c r="A1240" s="2">
        <f ca="1">IF(COUNTIF($AA$1:$BXX$24,1240) = 0,RAND(),RAND()-1)</f>
        <v>0.44956871529738751</v>
      </c>
      <c r="B1240" s="2" t="e">
        <f t="shared" ca="1" si="27"/>
        <v>#N/A</v>
      </c>
      <c r="C1240" s="1">
        <v>1240</v>
      </c>
      <c r="D1240" s="1" t="s">
        <v>2455</v>
      </c>
      <c r="E1240" s="1" t="s">
        <v>2456</v>
      </c>
    </row>
    <row r="1241" spans="1:5" ht="25">
      <c r="A1241" s="2">
        <f ca="1">IF(COUNTIF($AA$1:$BXX$24,1241) = 0,RAND(),RAND()-1)</f>
        <v>0.69231480044450777</v>
      </c>
      <c r="B1241" s="2" t="e">
        <f t="shared" ca="1" si="27"/>
        <v>#N/A</v>
      </c>
      <c r="C1241" s="1">
        <v>1241</v>
      </c>
      <c r="D1241" s="1" t="s">
        <v>2457</v>
      </c>
      <c r="E1241" s="1" t="s">
        <v>2458</v>
      </c>
    </row>
    <row r="1242" spans="1:5" ht="25">
      <c r="A1242" s="2">
        <f ca="1">IF(COUNTIF($AA$1:$BXX$24,1242) = 0,RAND(),RAND()-1)</f>
        <v>0.57675178472337085</v>
      </c>
      <c r="B1242" s="2" t="e">
        <f t="shared" ca="1" si="27"/>
        <v>#N/A</v>
      </c>
      <c r="C1242" s="1">
        <v>1242</v>
      </c>
      <c r="D1242" s="1" t="s">
        <v>2459</v>
      </c>
      <c r="E1242" s="1" t="s">
        <v>2460</v>
      </c>
    </row>
    <row r="1243" spans="1:5" ht="25">
      <c r="A1243" s="2">
        <f ca="1">IF(COUNTIF($AA$1:$BXX$24,1243) = 0,RAND(),RAND()-1)</f>
        <v>0.98785263086517694</v>
      </c>
      <c r="B1243" s="2" t="e">
        <f t="shared" ca="1" si="27"/>
        <v>#N/A</v>
      </c>
      <c r="C1243" s="1">
        <v>1243</v>
      </c>
      <c r="D1243" s="1" t="s">
        <v>2461</v>
      </c>
      <c r="E1243" s="1" t="s">
        <v>2462</v>
      </c>
    </row>
    <row r="1244" spans="1:5" ht="25">
      <c r="A1244" s="2">
        <f ca="1">IF(COUNTIF($AA$1:$BXX$24,1244) = 0,RAND(),RAND()-1)</f>
        <v>0.24792951068888813</v>
      </c>
      <c r="B1244" s="2" t="e">
        <f t="shared" ca="1" si="27"/>
        <v>#N/A</v>
      </c>
      <c r="C1244" s="1">
        <v>1244</v>
      </c>
      <c r="D1244" s="1" t="s">
        <v>2463</v>
      </c>
      <c r="E1244" s="1" t="s">
        <v>2464</v>
      </c>
    </row>
    <row r="1245" spans="1:5" ht="25">
      <c r="A1245" s="2">
        <f ca="1">IF(COUNTIF($AA$1:$BXX$24,1245) = 0,RAND(),RAND()-1)</f>
        <v>0.46681430842310334</v>
      </c>
      <c r="B1245" s="2" t="e">
        <f t="shared" ca="1" si="27"/>
        <v>#N/A</v>
      </c>
      <c r="C1245" s="1">
        <v>1245</v>
      </c>
      <c r="D1245" s="1" t="s">
        <v>2465</v>
      </c>
      <c r="E1245" s="1" t="s">
        <v>2466</v>
      </c>
    </row>
    <row r="1246" spans="1:5" ht="25">
      <c r="A1246" s="2">
        <f ca="1">IF(COUNTIF($AA$1:$BXX$24,1246) = 0,RAND(),RAND()-1)</f>
        <v>0.53789173332412532</v>
      </c>
      <c r="B1246" s="2" t="e">
        <f t="shared" ca="1" si="27"/>
        <v>#N/A</v>
      </c>
      <c r="C1246" s="1">
        <v>1246</v>
      </c>
      <c r="D1246" s="1" t="s">
        <v>2467</v>
      </c>
      <c r="E1246" s="1" t="s">
        <v>2468</v>
      </c>
    </row>
    <row r="1247" spans="1:5" ht="25">
      <c r="A1247" s="2">
        <f ca="1">IF(COUNTIF($AA$1:$BXX$24,1247) = 0,RAND(),RAND()-1)</f>
        <v>0.12972161829643769</v>
      </c>
      <c r="B1247" s="2" t="e">
        <f t="shared" ca="1" si="27"/>
        <v>#N/A</v>
      </c>
      <c r="C1247" s="1">
        <v>1247</v>
      </c>
      <c r="D1247" s="1" t="s">
        <v>2469</v>
      </c>
      <c r="E1247" s="1" t="s">
        <v>2470</v>
      </c>
    </row>
    <row r="1248" spans="1:5" ht="25">
      <c r="A1248" s="2">
        <f ca="1">IF(COUNTIF($AA$1:$BXX$24,1248) = 0,RAND(),RAND()-1)</f>
        <v>0.76986476741435983</v>
      </c>
      <c r="B1248" s="2" t="e">
        <f t="shared" ca="1" si="27"/>
        <v>#N/A</v>
      </c>
      <c r="C1248" s="1">
        <v>1248</v>
      </c>
      <c r="D1248" s="1" t="s">
        <v>2471</v>
      </c>
      <c r="E1248" s="1" t="s">
        <v>2472</v>
      </c>
    </row>
    <row r="1249" spans="1:5" ht="25">
      <c r="A1249" s="2">
        <f ca="1">IF(COUNTIF($AA$1:$BXX$24,1249) = 0,RAND(),RAND()-1)</f>
        <v>0.51326902294304377</v>
      </c>
      <c r="B1249" s="2" t="e">
        <f t="shared" ca="1" si="27"/>
        <v>#N/A</v>
      </c>
      <c r="C1249" s="1">
        <v>1249</v>
      </c>
      <c r="D1249" s="1" t="s">
        <v>2473</v>
      </c>
      <c r="E1249" s="1" t="s">
        <v>2474</v>
      </c>
    </row>
    <row r="1250" spans="1:5" ht="25">
      <c r="A1250" s="2">
        <f ca="1">IF(COUNTIF($AA$1:$BXX$24,1250) = 0,RAND(),RAND()-1)</f>
        <v>0.83859016502481143</v>
      </c>
      <c r="B1250" s="2" t="e">
        <f t="shared" ca="1" si="27"/>
        <v>#N/A</v>
      </c>
      <c r="C1250" s="1">
        <v>1250</v>
      </c>
      <c r="D1250" s="1" t="s">
        <v>2475</v>
      </c>
      <c r="E1250" s="1" t="s">
        <v>2476</v>
      </c>
    </row>
    <row r="1251" spans="1:5" ht="25">
      <c r="A1251" s="2">
        <f ca="1">IF(COUNTIF($AA$1:$BXX$24,1251) = 0,RAND(),RAND()-1)</f>
        <v>0.52050580661461687</v>
      </c>
      <c r="B1251" s="2" t="e">
        <f t="shared" ca="1" si="27"/>
        <v>#N/A</v>
      </c>
      <c r="C1251" s="1">
        <v>1251</v>
      </c>
      <c r="D1251" s="1" t="s">
        <v>2477</v>
      </c>
      <c r="E1251" s="1" t="s">
        <v>2478</v>
      </c>
    </row>
    <row r="1252" spans="1:5" ht="25">
      <c r="A1252" s="2">
        <f ca="1">IF(COUNTIF($AA$1:$BXX$24,1252) = 0,RAND(),RAND()-1)</f>
        <v>0.79019995143612631</v>
      </c>
      <c r="B1252" s="2" t="e">
        <f t="shared" ca="1" si="27"/>
        <v>#N/A</v>
      </c>
      <c r="C1252" s="1">
        <v>1252</v>
      </c>
      <c r="D1252" s="1" t="s">
        <v>2479</v>
      </c>
      <c r="E1252" s="1" t="s">
        <v>2480</v>
      </c>
    </row>
    <row r="1253" spans="1:5" ht="25">
      <c r="A1253" s="2">
        <f ca="1">IF(COUNTIF($AA$1:$BXX$24,1253) = 0,RAND(),RAND()-1)</f>
        <v>0.95108815013843762</v>
      </c>
      <c r="B1253" s="2" t="e">
        <f t="shared" ca="1" si="27"/>
        <v>#N/A</v>
      </c>
      <c r="C1253" s="1">
        <v>1253</v>
      </c>
      <c r="D1253" s="1" t="s">
        <v>2481</v>
      </c>
      <c r="E1253" s="1" t="s">
        <v>2482</v>
      </c>
    </row>
    <row r="1254" spans="1:5" ht="25">
      <c r="A1254" s="2">
        <f ca="1">IF(COUNTIF($AA$1:$BXX$24,1254) = 0,RAND(),RAND()-1)</f>
        <v>0.79004795389860194</v>
      </c>
      <c r="B1254" s="2" t="e">
        <f t="shared" ca="1" si="27"/>
        <v>#N/A</v>
      </c>
      <c r="C1254" s="1">
        <v>1254</v>
      </c>
      <c r="D1254" s="1" t="s">
        <v>2483</v>
      </c>
      <c r="E1254" s="1" t="s">
        <v>2484</v>
      </c>
    </row>
    <row r="1255" spans="1:5" ht="25">
      <c r="A1255" s="2">
        <f ca="1">IF(COUNTIF($AA$1:$BXX$24,1255) = 0,RAND(),RAND()-1)</f>
        <v>0.32128487290733021</v>
      </c>
      <c r="B1255" s="2" t="e">
        <f t="shared" ca="1" si="27"/>
        <v>#N/A</v>
      </c>
      <c r="C1255" s="1">
        <v>1255</v>
      </c>
      <c r="D1255" s="1" t="s">
        <v>2485</v>
      </c>
      <c r="E1255" s="1" t="s">
        <v>2486</v>
      </c>
    </row>
    <row r="1256" spans="1:5" ht="25">
      <c r="A1256" s="2">
        <f ca="1">IF(COUNTIF($AA$1:$BXX$24,1256) = 0,RAND(),RAND()-1)</f>
        <v>0.80122618130119228</v>
      </c>
      <c r="B1256" s="2" t="e">
        <f t="shared" ca="1" si="27"/>
        <v>#N/A</v>
      </c>
      <c r="C1256" s="1">
        <v>1256</v>
      </c>
      <c r="D1256" s="1" t="s">
        <v>2487</v>
      </c>
      <c r="E1256" s="1" t="s">
        <v>2488</v>
      </c>
    </row>
    <row r="1257" spans="1:5" ht="25">
      <c r="A1257" s="2">
        <f ca="1">IF(COUNTIF($AA$1:$BXX$24,1257) = 0,RAND(),RAND()-1)</f>
        <v>0.77643948821779485</v>
      </c>
      <c r="B1257" s="2" t="e">
        <f t="shared" ca="1" si="27"/>
        <v>#N/A</v>
      </c>
      <c r="C1257" s="1">
        <v>1257</v>
      </c>
      <c r="D1257" s="1" t="s">
        <v>2489</v>
      </c>
      <c r="E1257" s="1" t="s">
        <v>2490</v>
      </c>
    </row>
    <row r="1258" spans="1:5" ht="25">
      <c r="A1258" s="2">
        <f ca="1">IF(COUNTIF($AA$1:$BXX$24,1258) = 0,RAND(),RAND()-1)</f>
        <v>0.42048271142703186</v>
      </c>
      <c r="B1258" s="2" t="e">
        <f t="shared" ca="1" si="27"/>
        <v>#N/A</v>
      </c>
      <c r="C1258" s="1">
        <v>1258</v>
      </c>
      <c r="D1258" s="1" t="s">
        <v>2491</v>
      </c>
      <c r="E1258" s="1" t="s">
        <v>2492</v>
      </c>
    </row>
    <row r="1259" spans="1:5" ht="25">
      <c r="A1259" s="2">
        <f ca="1">IF(COUNTIF($AA$1:$BXX$24,1259) = 0,RAND(),RAND()-1)</f>
        <v>0.22942867382364385</v>
      </c>
      <c r="B1259" s="2" t="e">
        <f t="shared" ca="1" si="27"/>
        <v>#N/A</v>
      </c>
      <c r="C1259" s="1">
        <v>1259</v>
      </c>
      <c r="D1259" s="1" t="s">
        <v>2493</v>
      </c>
      <c r="E1259" s="1" t="s">
        <v>2494</v>
      </c>
    </row>
    <row r="1260" spans="1:5" ht="25">
      <c r="A1260" s="2">
        <f ca="1">IF(COUNTIF($AA$1:$BXX$24,1260) = 0,RAND(),RAND()-1)</f>
        <v>0.67326079282268148</v>
      </c>
      <c r="B1260" s="2" t="e">
        <f t="shared" ca="1" si="27"/>
        <v>#N/A</v>
      </c>
      <c r="C1260" s="1">
        <v>1260</v>
      </c>
      <c r="D1260" s="1" t="s">
        <v>2495</v>
      </c>
      <c r="E1260" s="1" t="s">
        <v>2496</v>
      </c>
    </row>
    <row r="1261" spans="1:5" ht="25">
      <c r="A1261" s="2">
        <f ca="1">IF(COUNTIF($AA$1:$BXX$24,1261) = 0,RAND(),RAND()-1)</f>
        <v>0.18289160415355155</v>
      </c>
      <c r="B1261" s="2" t="e">
        <f t="shared" ca="1" si="27"/>
        <v>#N/A</v>
      </c>
      <c r="C1261" s="1">
        <v>1261</v>
      </c>
      <c r="D1261" s="1" t="s">
        <v>2497</v>
      </c>
      <c r="E1261" s="1" t="s">
        <v>2498</v>
      </c>
    </row>
    <row r="1262" spans="1:5" ht="25">
      <c r="A1262" s="2">
        <f ca="1">IF(COUNTIF($AA$1:$BXX$24,1262) = 0,RAND(),RAND()-1)</f>
        <v>0.68901179049242078</v>
      </c>
      <c r="B1262" s="2" t="e">
        <f t="shared" ca="1" si="27"/>
        <v>#N/A</v>
      </c>
      <c r="C1262" s="1">
        <v>1262</v>
      </c>
      <c r="D1262" s="1" t="s">
        <v>2499</v>
      </c>
      <c r="E1262" s="1" t="s">
        <v>2500</v>
      </c>
    </row>
    <row r="1263" spans="1:5" ht="25">
      <c r="A1263" s="2">
        <f ca="1">IF(COUNTIF($AA$1:$BXX$24,1263) = 0,RAND(),RAND()-1)</f>
        <v>0.23273613328273812</v>
      </c>
      <c r="B1263" s="2" t="e">
        <f t="shared" ca="1" si="27"/>
        <v>#N/A</v>
      </c>
      <c r="C1263" s="1">
        <v>1263</v>
      </c>
      <c r="D1263" s="1" t="s">
        <v>2501</v>
      </c>
      <c r="E1263" s="1" t="s">
        <v>2502</v>
      </c>
    </row>
    <row r="1264" spans="1:5" ht="25">
      <c r="A1264" s="2">
        <f ca="1">IF(COUNTIF($AA$1:$BXX$24,1264) = 0,RAND(),RAND()-1)</f>
        <v>0.88448278218634113</v>
      </c>
      <c r="B1264" s="2" t="e">
        <f t="shared" ca="1" si="27"/>
        <v>#N/A</v>
      </c>
      <c r="C1264" s="1">
        <v>1264</v>
      </c>
      <c r="D1264" s="1" t="s">
        <v>2503</v>
      </c>
      <c r="E1264" s="1" t="s">
        <v>2504</v>
      </c>
    </row>
    <row r="1265" spans="1:5" ht="25">
      <c r="A1265" s="2">
        <f ca="1">IF(COUNTIF($AA$1:$BXX$24,1265) = 0,RAND(),RAND()-1)</f>
        <v>0.92988553172101673</v>
      </c>
      <c r="B1265" s="2" t="e">
        <f t="shared" ca="1" si="27"/>
        <v>#N/A</v>
      </c>
      <c r="C1265" s="1">
        <v>1265</v>
      </c>
      <c r="D1265" s="1" t="s">
        <v>2505</v>
      </c>
      <c r="E1265" s="1" t="s">
        <v>2506</v>
      </c>
    </row>
    <row r="1266" spans="1:5" ht="25">
      <c r="A1266" s="2">
        <f ca="1">IF(COUNTIF($AA$1:$BXX$24,1266) = 0,RAND(),RAND()-1)</f>
        <v>0.61001703372227978</v>
      </c>
      <c r="B1266" s="2" t="e">
        <f t="shared" ca="1" si="27"/>
        <v>#N/A</v>
      </c>
      <c r="C1266" s="1">
        <v>1266</v>
      </c>
      <c r="D1266" s="1" t="s">
        <v>2507</v>
      </c>
      <c r="E1266" s="1" t="s">
        <v>2508</v>
      </c>
    </row>
    <row r="1267" spans="1:5" ht="25">
      <c r="A1267" s="2">
        <f ca="1">IF(COUNTIF($AA$1:$BXX$24,1267) = 0,RAND(),RAND()-1)</f>
        <v>0.24535076205582595</v>
      </c>
      <c r="B1267" s="2" t="e">
        <f t="shared" ca="1" si="27"/>
        <v>#N/A</v>
      </c>
      <c r="C1267" s="1">
        <v>1267</v>
      </c>
      <c r="D1267" s="1" t="s">
        <v>2509</v>
      </c>
      <c r="E1267" s="1" t="s">
        <v>2510</v>
      </c>
    </row>
    <row r="1268" spans="1:5" ht="25">
      <c r="A1268" s="2">
        <f ca="1">IF(COUNTIF($AA$1:$BXX$24,1268) = 0,RAND(),RAND()-1)</f>
        <v>0.98220998271076121</v>
      </c>
      <c r="B1268" s="2" t="e">
        <f t="shared" ca="1" si="27"/>
        <v>#N/A</v>
      </c>
      <c r="C1268" s="1">
        <v>1268</v>
      </c>
      <c r="D1268" s="1" t="s">
        <v>2511</v>
      </c>
      <c r="E1268" s="1" t="s">
        <v>2512</v>
      </c>
    </row>
    <row r="1269" spans="1:5" ht="25">
      <c r="A1269" s="2">
        <f ca="1">IF(COUNTIF($AA$1:$BXX$24,1269) = 0,RAND(),RAND()-1)</f>
        <v>0.74168449515558821</v>
      </c>
      <c r="B1269" s="2" t="e">
        <f t="shared" ca="1" si="27"/>
        <v>#N/A</v>
      </c>
      <c r="C1269" s="1">
        <v>1269</v>
      </c>
      <c r="D1269" s="1" t="s">
        <v>2513</v>
      </c>
      <c r="E1269" s="1" t="s">
        <v>2514</v>
      </c>
    </row>
    <row r="1270" spans="1:5" ht="25">
      <c r="A1270" s="2">
        <f ca="1">IF(COUNTIF($AA$1:$BXX$24,1270) = 0,RAND(),RAND()-1)</f>
        <v>0.2263640475818578</v>
      </c>
      <c r="B1270" s="2" t="e">
        <f t="shared" ca="1" si="27"/>
        <v>#N/A</v>
      </c>
      <c r="C1270" s="1">
        <v>1270</v>
      </c>
      <c r="D1270" s="1" t="s">
        <v>2515</v>
      </c>
      <c r="E1270" s="1" t="s">
        <v>2516</v>
      </c>
    </row>
    <row r="1271" spans="1:5" ht="25">
      <c r="A1271" s="2">
        <f ca="1">IF(COUNTIF($AA$1:$BXX$24,1271) = 0,RAND(),RAND()-1)</f>
        <v>0.85458316615489505</v>
      </c>
      <c r="B1271" s="2" t="e">
        <f t="shared" ca="1" si="27"/>
        <v>#N/A</v>
      </c>
      <c r="C1271" s="1">
        <v>1271</v>
      </c>
      <c r="D1271" s="1" t="s">
        <v>2517</v>
      </c>
      <c r="E1271" s="1" t="s">
        <v>2518</v>
      </c>
    </row>
    <row r="1272" spans="1:5" ht="25">
      <c r="A1272" s="2">
        <f ca="1">IF(COUNTIF($AA$1:$BXX$24,1272) = 0,RAND(),RAND()-1)</f>
        <v>0.27592435541577787</v>
      </c>
      <c r="B1272" s="2" t="e">
        <f t="shared" ca="1" si="27"/>
        <v>#N/A</v>
      </c>
      <c r="C1272" s="1">
        <v>1272</v>
      </c>
      <c r="D1272" s="1" t="s">
        <v>2519</v>
      </c>
      <c r="E1272" s="1" t="s">
        <v>2520</v>
      </c>
    </row>
    <row r="1273" spans="1:5" ht="25">
      <c r="A1273" s="2">
        <f ca="1">IF(COUNTIF($AA$1:$BXX$24,1273) = 0,RAND(),RAND()-1)</f>
        <v>0.99351758812447821</v>
      </c>
      <c r="B1273" s="2" t="e">
        <f t="shared" ca="1" si="27"/>
        <v>#N/A</v>
      </c>
      <c r="C1273" s="1">
        <v>1273</v>
      </c>
      <c r="D1273" s="1" t="s">
        <v>2521</v>
      </c>
      <c r="E1273" s="1" t="s">
        <v>2522</v>
      </c>
    </row>
    <row r="1274" spans="1:5" ht="25">
      <c r="A1274" s="2">
        <f ca="1">IF(COUNTIF($AA$1:$BXX$24,1274) = 0,RAND(),RAND()-1)</f>
        <v>0.34822195575082415</v>
      </c>
      <c r="B1274" s="2" t="e">
        <f t="shared" ca="1" si="27"/>
        <v>#N/A</v>
      </c>
      <c r="C1274" s="1">
        <v>1274</v>
      </c>
      <c r="D1274" s="1" t="s">
        <v>2523</v>
      </c>
      <c r="E1274" s="1" t="s">
        <v>2524</v>
      </c>
    </row>
    <row r="1275" spans="1:5" ht="25">
      <c r="A1275" s="2">
        <f ca="1">IF(COUNTIF($AA$1:$BXX$24,1275) = 0,RAND(),RAND()-1)</f>
        <v>0.50591007978616531</v>
      </c>
      <c r="B1275" s="2" t="e">
        <f t="shared" ca="1" si="27"/>
        <v>#N/A</v>
      </c>
      <c r="C1275" s="1">
        <v>1275</v>
      </c>
      <c r="D1275" s="1" t="s">
        <v>2525</v>
      </c>
      <c r="E1275" s="1" t="s">
        <v>2526</v>
      </c>
    </row>
    <row r="1276" spans="1:5" ht="25">
      <c r="A1276" s="2">
        <f ca="1">IF(COUNTIF($AA$1:$BXX$24,1276) = 0,RAND(),RAND()-1)</f>
        <v>0.66768860906670813</v>
      </c>
      <c r="B1276" s="2" t="e">
        <f t="shared" ca="1" si="27"/>
        <v>#N/A</v>
      </c>
      <c r="C1276" s="1">
        <v>1276</v>
      </c>
      <c r="D1276" s="1" t="s">
        <v>2527</v>
      </c>
      <c r="E1276" s="1" t="s">
        <v>2528</v>
      </c>
    </row>
    <row r="1277" spans="1:5" ht="25">
      <c r="A1277" s="2">
        <f ca="1">IF(COUNTIF($AA$1:$BXX$24,1277) = 0,RAND(),RAND()-1)</f>
        <v>0.83448400440106785</v>
      </c>
      <c r="B1277" s="2" t="e">
        <f t="shared" ca="1" si="27"/>
        <v>#N/A</v>
      </c>
      <c r="C1277" s="1">
        <v>1277</v>
      </c>
      <c r="D1277" s="1" t="s">
        <v>2529</v>
      </c>
      <c r="E1277" s="1" t="s">
        <v>2530</v>
      </c>
    </row>
    <row r="1278" spans="1:5" ht="25">
      <c r="A1278" s="2">
        <f ca="1">IF(COUNTIF($AA$1:$BXX$24,1278) = 0,RAND(),RAND()-1)</f>
        <v>0.18470616357792202</v>
      </c>
      <c r="B1278" s="2" t="e">
        <f t="shared" ca="1" si="27"/>
        <v>#N/A</v>
      </c>
      <c r="C1278" s="1">
        <v>1278</v>
      </c>
      <c r="D1278" s="1" t="s">
        <v>2531</v>
      </c>
      <c r="E1278" s="1" t="s">
        <v>2532</v>
      </c>
    </row>
    <row r="1279" spans="1:5" ht="25">
      <c r="A1279" s="2">
        <f ca="1">IF(COUNTIF($AA$1:$BXX$24,1279) = 0,RAND(),RAND()-1)</f>
        <v>0.95728866280377001</v>
      </c>
      <c r="B1279" s="2" t="e">
        <f t="shared" ca="1" si="27"/>
        <v>#N/A</v>
      </c>
      <c r="C1279" s="1">
        <v>1279</v>
      </c>
      <c r="D1279" s="1" t="s">
        <v>2533</v>
      </c>
      <c r="E1279" s="1" t="s">
        <v>2534</v>
      </c>
    </row>
    <row r="1280" spans="1:5" ht="25">
      <c r="A1280" s="2">
        <f ca="1">IF(COUNTIF($AA$1:$BXX$24,1280) = 0,RAND(),RAND()-1)</f>
        <v>2.9683541466634211E-2</v>
      </c>
      <c r="B1280" s="2" t="e">
        <f t="shared" ca="1" si="27"/>
        <v>#N/A</v>
      </c>
      <c r="C1280" s="1">
        <v>1280</v>
      </c>
      <c r="D1280" s="1" t="s">
        <v>2535</v>
      </c>
      <c r="E1280" s="1" t="s">
        <v>2536</v>
      </c>
    </row>
    <row r="1281" spans="1:5" ht="25">
      <c r="A1281" s="2">
        <f ca="1">IF(COUNTIF($AA$1:$BXX$24,1281) = 0,RAND(),RAND()-1)</f>
        <v>0.19450620195700696</v>
      </c>
      <c r="B1281" s="2" t="e">
        <f t="shared" ref="B1281:B1344" ca="1" si="28">RANK(A1281,OFFSET($A$1,$G$1-1,0,$G$2-$G$1+1))</f>
        <v>#N/A</v>
      </c>
      <c r="C1281" s="1">
        <v>1281</v>
      </c>
      <c r="D1281" s="1" t="s">
        <v>2537</v>
      </c>
      <c r="E1281" s="1" t="s">
        <v>2538</v>
      </c>
    </row>
    <row r="1282" spans="1:5" ht="25">
      <c r="A1282" s="2">
        <f ca="1">IF(COUNTIF($AA$1:$BXX$24,1282) = 0,RAND(),RAND()-1)</f>
        <v>0.93634896354382546</v>
      </c>
      <c r="B1282" s="2" t="e">
        <f t="shared" ca="1" si="28"/>
        <v>#N/A</v>
      </c>
      <c r="C1282" s="1">
        <v>1282</v>
      </c>
      <c r="D1282" s="1" t="s">
        <v>2539</v>
      </c>
      <c r="E1282" s="1" t="s">
        <v>2540</v>
      </c>
    </row>
    <row r="1283" spans="1:5" ht="25">
      <c r="A1283" s="2">
        <f ca="1">IF(COUNTIF($AA$1:$BXX$24,1283) = 0,RAND(),RAND()-1)</f>
        <v>0.64143251383328637</v>
      </c>
      <c r="B1283" s="2" t="e">
        <f t="shared" ca="1" si="28"/>
        <v>#N/A</v>
      </c>
      <c r="C1283" s="1">
        <v>1283</v>
      </c>
      <c r="D1283" s="1" t="s">
        <v>2541</v>
      </c>
      <c r="E1283" s="1" t="s">
        <v>2542</v>
      </c>
    </row>
    <row r="1284" spans="1:5" ht="25">
      <c r="A1284" s="2">
        <f ca="1">IF(COUNTIF($AA$1:$BXX$24,1284) = 0,RAND(),RAND()-1)</f>
        <v>0.33912374317631477</v>
      </c>
      <c r="B1284" s="2" t="e">
        <f t="shared" ca="1" si="28"/>
        <v>#N/A</v>
      </c>
      <c r="C1284" s="1">
        <v>1284</v>
      </c>
      <c r="D1284" s="1" t="s">
        <v>2543</v>
      </c>
      <c r="E1284" s="1" t="s">
        <v>2544</v>
      </c>
    </row>
    <row r="1285" spans="1:5" ht="25">
      <c r="A1285" s="2">
        <f ca="1">IF(COUNTIF($AA$1:$BXX$24,1285) = 0,RAND(),RAND()-1)</f>
        <v>0.47472561729677398</v>
      </c>
      <c r="B1285" s="2" t="e">
        <f t="shared" ca="1" si="28"/>
        <v>#N/A</v>
      </c>
      <c r="C1285" s="1">
        <v>1285</v>
      </c>
      <c r="D1285" s="1" t="s">
        <v>2545</v>
      </c>
      <c r="E1285" s="1" t="s">
        <v>435</v>
      </c>
    </row>
    <row r="1286" spans="1:5" ht="25">
      <c r="A1286" s="2">
        <f ca="1">IF(COUNTIF($AA$1:$BXX$24,1286) = 0,RAND(),RAND()-1)</f>
        <v>0.84491967844147842</v>
      </c>
      <c r="B1286" s="2" t="e">
        <f t="shared" ca="1" si="28"/>
        <v>#N/A</v>
      </c>
      <c r="C1286" s="1">
        <v>1286</v>
      </c>
      <c r="D1286" s="1" t="s">
        <v>2546</v>
      </c>
      <c r="E1286" s="1" t="s">
        <v>2547</v>
      </c>
    </row>
    <row r="1287" spans="1:5" ht="25">
      <c r="A1287" s="2">
        <f ca="1">IF(COUNTIF($AA$1:$BXX$24,1287) = 0,RAND(),RAND()-1)</f>
        <v>0.82356375127297166</v>
      </c>
      <c r="B1287" s="2" t="e">
        <f t="shared" ca="1" si="28"/>
        <v>#N/A</v>
      </c>
      <c r="C1287" s="1">
        <v>1287</v>
      </c>
      <c r="D1287" s="1" t="s">
        <v>2548</v>
      </c>
      <c r="E1287" s="1" t="s">
        <v>2549</v>
      </c>
    </row>
    <row r="1288" spans="1:5" ht="25">
      <c r="A1288" s="2">
        <f ca="1">IF(COUNTIF($AA$1:$BXX$24,1288) = 0,RAND(),RAND()-1)</f>
        <v>0.91372393568995935</v>
      </c>
      <c r="B1288" s="2" t="e">
        <f t="shared" ca="1" si="28"/>
        <v>#N/A</v>
      </c>
      <c r="C1288" s="1">
        <v>1288</v>
      </c>
      <c r="D1288" s="1" t="s">
        <v>2550</v>
      </c>
      <c r="E1288" s="1" t="s">
        <v>2551</v>
      </c>
    </row>
    <row r="1289" spans="1:5" ht="25">
      <c r="A1289" s="2">
        <f ca="1">IF(COUNTIF($AA$1:$BXX$24,1289) = 0,RAND(),RAND()-1)</f>
        <v>0.74657593848556691</v>
      </c>
      <c r="B1289" s="2" t="e">
        <f t="shared" ca="1" si="28"/>
        <v>#N/A</v>
      </c>
      <c r="C1289" s="1">
        <v>1289</v>
      </c>
      <c r="D1289" s="1" t="s">
        <v>2552</v>
      </c>
      <c r="E1289" s="1" t="s">
        <v>2553</v>
      </c>
    </row>
    <row r="1290" spans="1:5" ht="25">
      <c r="A1290" s="2">
        <f ca="1">IF(COUNTIF($AA$1:$BXX$24,1290) = 0,RAND(),RAND()-1)</f>
        <v>0.2755434342831341</v>
      </c>
      <c r="B1290" s="2" t="e">
        <f t="shared" ca="1" si="28"/>
        <v>#N/A</v>
      </c>
      <c r="C1290" s="1">
        <v>1290</v>
      </c>
      <c r="D1290" s="1" t="s">
        <v>2554</v>
      </c>
      <c r="E1290" s="1" t="s">
        <v>2555</v>
      </c>
    </row>
    <row r="1291" spans="1:5" ht="25">
      <c r="A1291" s="2">
        <f ca="1">IF(COUNTIF($AA$1:$BXX$24,1291) = 0,RAND(),RAND()-1)</f>
        <v>0.67730287356773977</v>
      </c>
      <c r="B1291" s="2" t="e">
        <f t="shared" ca="1" si="28"/>
        <v>#N/A</v>
      </c>
      <c r="C1291" s="1">
        <v>1291</v>
      </c>
      <c r="D1291" s="1" t="s">
        <v>2556</v>
      </c>
      <c r="E1291" s="1" t="s">
        <v>2557</v>
      </c>
    </row>
    <row r="1292" spans="1:5" ht="25">
      <c r="A1292" s="2">
        <f ca="1">IF(COUNTIF($AA$1:$BXX$24,1292) = 0,RAND(),RAND()-1)</f>
        <v>0.6036320592757044</v>
      </c>
      <c r="B1292" s="2" t="e">
        <f t="shared" ca="1" si="28"/>
        <v>#N/A</v>
      </c>
      <c r="C1292" s="1">
        <v>1292</v>
      </c>
      <c r="D1292" s="1" t="s">
        <v>2558</v>
      </c>
      <c r="E1292" s="1" t="s">
        <v>2559</v>
      </c>
    </row>
    <row r="1293" spans="1:5" ht="25">
      <c r="A1293" s="2">
        <f ca="1">IF(COUNTIF($AA$1:$BXX$24,1293) = 0,RAND(),RAND()-1)</f>
        <v>0.96047331877627129</v>
      </c>
      <c r="B1293" s="2" t="e">
        <f t="shared" ca="1" si="28"/>
        <v>#N/A</v>
      </c>
      <c r="C1293" s="1">
        <v>1293</v>
      </c>
      <c r="D1293" s="1" t="s">
        <v>2560</v>
      </c>
      <c r="E1293" s="1" t="s">
        <v>2561</v>
      </c>
    </row>
    <row r="1294" spans="1:5" ht="25">
      <c r="A1294" s="2">
        <f ca="1">IF(COUNTIF($AA$1:$BXX$24,1294) = 0,RAND(),RAND()-1)</f>
        <v>0.54454223341137453</v>
      </c>
      <c r="B1294" s="2" t="e">
        <f t="shared" ca="1" si="28"/>
        <v>#N/A</v>
      </c>
      <c r="C1294" s="1">
        <v>1294</v>
      </c>
      <c r="D1294" s="1" t="s">
        <v>2562</v>
      </c>
      <c r="E1294" s="1" t="s">
        <v>2563</v>
      </c>
    </row>
    <row r="1295" spans="1:5" ht="25">
      <c r="A1295" s="2">
        <f ca="1">IF(COUNTIF($AA$1:$BXX$24,1295) = 0,RAND(),RAND()-1)</f>
        <v>0.83386765089778114</v>
      </c>
      <c r="B1295" s="2" t="e">
        <f t="shared" ca="1" si="28"/>
        <v>#N/A</v>
      </c>
      <c r="C1295" s="1">
        <v>1295</v>
      </c>
      <c r="D1295" s="1" t="s">
        <v>2564</v>
      </c>
      <c r="E1295" s="1" t="s">
        <v>2565</v>
      </c>
    </row>
    <row r="1296" spans="1:5" ht="25">
      <c r="A1296" s="2">
        <f ca="1">IF(COUNTIF($AA$1:$BXX$24,1296) = 0,RAND(),RAND()-1)</f>
        <v>0.10036361790138404</v>
      </c>
      <c r="B1296" s="2" t="e">
        <f t="shared" ca="1" si="28"/>
        <v>#N/A</v>
      </c>
      <c r="C1296" s="1">
        <v>1296</v>
      </c>
      <c r="D1296" s="1" t="s">
        <v>2566</v>
      </c>
      <c r="E1296" s="1" t="s">
        <v>2567</v>
      </c>
    </row>
    <row r="1297" spans="1:5" ht="25">
      <c r="A1297" s="2">
        <f ca="1">IF(COUNTIF($AA$1:$BXX$24,1297) = 0,RAND(),RAND()-1)</f>
        <v>0.95654231723808381</v>
      </c>
      <c r="B1297" s="2" t="e">
        <f t="shared" ca="1" si="28"/>
        <v>#N/A</v>
      </c>
      <c r="C1297" s="1">
        <v>1297</v>
      </c>
      <c r="D1297" s="1" t="s">
        <v>2568</v>
      </c>
      <c r="E1297" s="1" t="s">
        <v>2569</v>
      </c>
    </row>
    <row r="1298" spans="1:5" ht="25">
      <c r="A1298" s="2">
        <f ca="1">IF(COUNTIF($AA$1:$BXX$24,1298) = 0,RAND(),RAND()-1)</f>
        <v>0.93022740394502557</v>
      </c>
      <c r="B1298" s="2" t="e">
        <f t="shared" ca="1" si="28"/>
        <v>#N/A</v>
      </c>
      <c r="C1298" s="1">
        <v>1298</v>
      </c>
      <c r="D1298" s="1" t="s">
        <v>2570</v>
      </c>
      <c r="E1298" s="1" t="s">
        <v>2571</v>
      </c>
    </row>
    <row r="1299" spans="1:5" ht="25">
      <c r="A1299" s="2">
        <f ca="1">IF(COUNTIF($AA$1:$BXX$24,1299) = 0,RAND(),RAND()-1)</f>
        <v>0.17939618622525721</v>
      </c>
      <c r="B1299" s="2" t="e">
        <f t="shared" ca="1" si="28"/>
        <v>#N/A</v>
      </c>
      <c r="C1299" s="1">
        <v>1299</v>
      </c>
      <c r="D1299" s="1" t="s">
        <v>2572</v>
      </c>
      <c r="E1299" s="1" t="s">
        <v>2573</v>
      </c>
    </row>
    <row r="1300" spans="1:5" ht="25">
      <c r="A1300" s="2">
        <f ca="1">IF(COUNTIF($AA$1:$BXX$24,1300) = 0,RAND(),RAND()-1)</f>
        <v>0.37419156608428239</v>
      </c>
      <c r="B1300" s="2" t="e">
        <f t="shared" ca="1" si="28"/>
        <v>#N/A</v>
      </c>
      <c r="C1300" s="1">
        <v>1300</v>
      </c>
      <c r="D1300" s="1" t="s">
        <v>2574</v>
      </c>
      <c r="E1300" s="1" t="s">
        <v>2575</v>
      </c>
    </row>
    <row r="1301" spans="1:5" ht="25">
      <c r="A1301" s="2">
        <f ca="1">IF(COUNTIF($AA$1:$BXX$24,1301) = 0,RAND(),RAND()-1)</f>
        <v>0.64224140016466225</v>
      </c>
      <c r="B1301" s="2" t="e">
        <f t="shared" ca="1" si="28"/>
        <v>#N/A</v>
      </c>
      <c r="C1301" s="1">
        <v>1301</v>
      </c>
      <c r="D1301" s="1" t="s">
        <v>2576</v>
      </c>
      <c r="E1301" s="1" t="s">
        <v>2577</v>
      </c>
    </row>
    <row r="1302" spans="1:5" ht="25">
      <c r="A1302" s="2">
        <f ca="1">IF(COUNTIF($AA$1:$BXX$24,1302) = 0,RAND(),RAND()-1)</f>
        <v>0.59253422581128323</v>
      </c>
      <c r="B1302" s="2" t="e">
        <f t="shared" ca="1" si="28"/>
        <v>#N/A</v>
      </c>
      <c r="C1302" s="1">
        <v>1302</v>
      </c>
      <c r="D1302" s="1" t="s">
        <v>2578</v>
      </c>
      <c r="E1302" s="1" t="s">
        <v>2579</v>
      </c>
    </row>
    <row r="1303" spans="1:5" ht="25">
      <c r="A1303" s="2">
        <f ca="1">IF(COUNTIF($AA$1:$BXX$24,1303) = 0,RAND(),RAND()-1)</f>
        <v>0.94058811418189125</v>
      </c>
      <c r="B1303" s="2" t="e">
        <f t="shared" ca="1" si="28"/>
        <v>#N/A</v>
      </c>
      <c r="C1303" s="1">
        <v>1303</v>
      </c>
      <c r="D1303" s="1" t="s">
        <v>2580</v>
      </c>
      <c r="E1303" s="1" t="s">
        <v>2581</v>
      </c>
    </row>
    <row r="1304" spans="1:5" ht="25">
      <c r="A1304" s="2">
        <f ca="1">IF(COUNTIF($AA$1:$BXX$24,1304) = 0,RAND(),RAND()-1)</f>
        <v>0.53564136934751327</v>
      </c>
      <c r="B1304" s="2" t="e">
        <f t="shared" ca="1" si="28"/>
        <v>#N/A</v>
      </c>
      <c r="C1304" s="1">
        <v>1304</v>
      </c>
      <c r="D1304" s="1" t="s">
        <v>2582</v>
      </c>
      <c r="E1304" s="1" t="s">
        <v>2583</v>
      </c>
    </row>
    <row r="1305" spans="1:5" ht="25">
      <c r="A1305" s="2">
        <f ca="1">IF(COUNTIF($AA$1:$BXX$24,1305) = 0,RAND(),RAND()-1)</f>
        <v>0.24565968012058215</v>
      </c>
      <c r="B1305" s="2" t="e">
        <f t="shared" ca="1" si="28"/>
        <v>#N/A</v>
      </c>
      <c r="C1305" s="1">
        <v>1305</v>
      </c>
      <c r="D1305" s="1" t="s">
        <v>2584</v>
      </c>
      <c r="E1305" s="1" t="s">
        <v>496</v>
      </c>
    </row>
    <row r="1306" spans="1:5" ht="25">
      <c r="A1306" s="2">
        <f ca="1">IF(COUNTIF($AA$1:$BXX$24,1306) = 0,RAND(),RAND()-1)</f>
        <v>0.67401284154633778</v>
      </c>
      <c r="B1306" s="2" t="e">
        <f t="shared" ca="1" si="28"/>
        <v>#N/A</v>
      </c>
      <c r="C1306" s="1">
        <v>1306</v>
      </c>
      <c r="D1306" s="1" t="s">
        <v>2585</v>
      </c>
      <c r="E1306" s="1" t="s">
        <v>2586</v>
      </c>
    </row>
    <row r="1307" spans="1:5" ht="25">
      <c r="A1307" s="2">
        <f ca="1">IF(COUNTIF($AA$1:$BXX$24,1307) = 0,RAND(),RAND()-1)</f>
        <v>2.3651217124733726E-2</v>
      </c>
      <c r="B1307" s="2" t="e">
        <f t="shared" ca="1" si="28"/>
        <v>#N/A</v>
      </c>
      <c r="C1307" s="1">
        <v>1307</v>
      </c>
      <c r="D1307" s="1" t="s">
        <v>2587</v>
      </c>
      <c r="E1307" s="1" t="s">
        <v>2588</v>
      </c>
    </row>
    <row r="1308" spans="1:5" ht="25">
      <c r="A1308" s="2">
        <f ca="1">IF(COUNTIF($AA$1:$BXX$24,1308) = 0,RAND(),RAND()-1)</f>
        <v>0.6724263484966595</v>
      </c>
      <c r="B1308" s="2" t="e">
        <f t="shared" ca="1" si="28"/>
        <v>#N/A</v>
      </c>
      <c r="C1308" s="1">
        <v>1308</v>
      </c>
      <c r="D1308" s="1" t="s">
        <v>2589</v>
      </c>
      <c r="E1308" s="1" t="s">
        <v>2590</v>
      </c>
    </row>
    <row r="1309" spans="1:5" ht="25">
      <c r="A1309" s="2">
        <f ca="1">IF(COUNTIF($AA$1:$BXX$24,1309) = 0,RAND(),RAND()-1)</f>
        <v>0.94721240815368846</v>
      </c>
      <c r="B1309" s="2" t="e">
        <f t="shared" ca="1" si="28"/>
        <v>#N/A</v>
      </c>
      <c r="C1309" s="1">
        <v>1309</v>
      </c>
      <c r="D1309" s="1" t="s">
        <v>2591</v>
      </c>
      <c r="E1309" s="1" t="s">
        <v>2592</v>
      </c>
    </row>
    <row r="1310" spans="1:5" ht="25">
      <c r="A1310" s="2">
        <f ca="1">IF(COUNTIF($AA$1:$BXX$24,1310) = 0,RAND(),RAND()-1)</f>
        <v>0.6012796739905969</v>
      </c>
      <c r="B1310" s="2" t="e">
        <f t="shared" ca="1" si="28"/>
        <v>#N/A</v>
      </c>
      <c r="C1310" s="1">
        <v>1310</v>
      </c>
      <c r="D1310" s="1" t="s">
        <v>2593</v>
      </c>
      <c r="E1310" s="1" t="s">
        <v>2594</v>
      </c>
    </row>
    <row r="1311" spans="1:5" ht="25">
      <c r="A1311" s="2">
        <f ca="1">IF(COUNTIF($AA$1:$BXX$24,1311) = 0,RAND(),RAND()-1)</f>
        <v>0.56509186307039172</v>
      </c>
      <c r="B1311" s="2" t="e">
        <f t="shared" ca="1" si="28"/>
        <v>#N/A</v>
      </c>
      <c r="C1311" s="1">
        <v>1311</v>
      </c>
      <c r="D1311" s="1" t="s">
        <v>2595</v>
      </c>
      <c r="E1311" s="1" t="s">
        <v>2596</v>
      </c>
    </row>
    <row r="1312" spans="1:5" ht="25">
      <c r="A1312" s="2">
        <f ca="1">IF(COUNTIF($AA$1:$BXX$24,1312) = 0,RAND(),RAND()-1)</f>
        <v>0.91556862192627853</v>
      </c>
      <c r="B1312" s="2" t="e">
        <f t="shared" ca="1" si="28"/>
        <v>#N/A</v>
      </c>
      <c r="C1312" s="1">
        <v>1312</v>
      </c>
      <c r="D1312" s="1" t="s">
        <v>2597</v>
      </c>
      <c r="E1312" s="1" t="s">
        <v>2598</v>
      </c>
    </row>
    <row r="1313" spans="1:5" ht="25">
      <c r="A1313" s="2">
        <f ca="1">IF(COUNTIF($AA$1:$BXX$24,1313) = 0,RAND(),RAND()-1)</f>
        <v>3.8426543869453655E-2</v>
      </c>
      <c r="B1313" s="2" t="e">
        <f t="shared" ca="1" si="28"/>
        <v>#N/A</v>
      </c>
      <c r="C1313" s="1">
        <v>1313</v>
      </c>
      <c r="D1313" s="1" t="s">
        <v>2599</v>
      </c>
      <c r="E1313" s="1" t="s">
        <v>2600</v>
      </c>
    </row>
    <row r="1314" spans="1:5" ht="25">
      <c r="A1314" s="2">
        <f ca="1">IF(COUNTIF($AA$1:$BXX$24,1314) = 0,RAND(),RAND()-1)</f>
        <v>0.90050665483560099</v>
      </c>
      <c r="B1314" s="2" t="e">
        <f t="shared" ca="1" si="28"/>
        <v>#N/A</v>
      </c>
      <c r="C1314" s="1">
        <v>1314</v>
      </c>
      <c r="D1314" s="1" t="s">
        <v>2601</v>
      </c>
      <c r="E1314" s="1" t="s">
        <v>2602</v>
      </c>
    </row>
    <row r="1315" spans="1:5" ht="25">
      <c r="A1315" s="2">
        <f ca="1">IF(COUNTIF($AA$1:$BXX$24,1315) = 0,RAND(),RAND()-1)</f>
        <v>0.45129521639118075</v>
      </c>
      <c r="B1315" s="2" t="e">
        <f t="shared" ca="1" si="28"/>
        <v>#N/A</v>
      </c>
      <c r="C1315" s="1">
        <v>1315</v>
      </c>
      <c r="D1315" s="1" t="s">
        <v>2603</v>
      </c>
      <c r="E1315" s="1" t="s">
        <v>2604</v>
      </c>
    </row>
    <row r="1316" spans="1:5" ht="25">
      <c r="A1316" s="2">
        <f ca="1">IF(COUNTIF($AA$1:$BXX$24,1316) = 0,RAND(),RAND()-1)</f>
        <v>0.11391662189724427</v>
      </c>
      <c r="B1316" s="2" t="e">
        <f t="shared" ca="1" si="28"/>
        <v>#N/A</v>
      </c>
      <c r="C1316" s="1">
        <v>1316</v>
      </c>
      <c r="D1316" s="1" t="s">
        <v>2605</v>
      </c>
      <c r="E1316" s="1" t="s">
        <v>2606</v>
      </c>
    </row>
    <row r="1317" spans="1:5" ht="25">
      <c r="A1317" s="2">
        <f ca="1">IF(COUNTIF($AA$1:$BXX$24,1317) = 0,RAND(),RAND()-1)</f>
        <v>0.18999409650399546</v>
      </c>
      <c r="B1317" s="2" t="e">
        <f t="shared" ca="1" si="28"/>
        <v>#N/A</v>
      </c>
      <c r="C1317" s="1">
        <v>1317</v>
      </c>
      <c r="D1317" s="1" t="s">
        <v>2607</v>
      </c>
      <c r="E1317" s="1" t="s">
        <v>2608</v>
      </c>
    </row>
    <row r="1318" spans="1:5" ht="25">
      <c r="A1318" s="2">
        <f ca="1">IF(COUNTIF($AA$1:$BXX$24,1318) = 0,RAND(),RAND()-1)</f>
        <v>0.23939842052282623</v>
      </c>
      <c r="B1318" s="2" t="e">
        <f t="shared" ca="1" si="28"/>
        <v>#N/A</v>
      </c>
      <c r="C1318" s="1">
        <v>1318</v>
      </c>
      <c r="D1318" s="1" t="s">
        <v>2609</v>
      </c>
      <c r="E1318" s="1" t="s">
        <v>2610</v>
      </c>
    </row>
    <row r="1319" spans="1:5" ht="25">
      <c r="A1319" s="2">
        <f ca="1">IF(COUNTIF($AA$1:$BXX$24,1319) = 0,RAND(),RAND()-1)</f>
        <v>0.12542540495460908</v>
      </c>
      <c r="B1319" s="2" t="e">
        <f t="shared" ca="1" si="28"/>
        <v>#N/A</v>
      </c>
      <c r="C1319" s="1">
        <v>1319</v>
      </c>
      <c r="D1319" s="1" t="s">
        <v>2611</v>
      </c>
      <c r="E1319" s="1" t="s">
        <v>2612</v>
      </c>
    </row>
    <row r="1320" spans="1:5" ht="25">
      <c r="A1320" s="2">
        <f ca="1">IF(COUNTIF($AA$1:$BXX$24,1320) = 0,RAND(),RAND()-1)</f>
        <v>0.80518101309854551</v>
      </c>
      <c r="B1320" s="2" t="e">
        <f t="shared" ca="1" si="28"/>
        <v>#N/A</v>
      </c>
      <c r="C1320" s="1">
        <v>1320</v>
      </c>
      <c r="D1320" s="1" t="s">
        <v>2613</v>
      </c>
      <c r="E1320" s="1" t="s">
        <v>2614</v>
      </c>
    </row>
    <row r="1321" spans="1:5" ht="25">
      <c r="A1321" s="2">
        <f ca="1">IF(COUNTIF($AA$1:$BXX$24,1321) = 0,RAND(),RAND()-1)</f>
        <v>0.32877164808400994</v>
      </c>
      <c r="B1321" s="2" t="e">
        <f t="shared" ca="1" si="28"/>
        <v>#N/A</v>
      </c>
      <c r="C1321" s="1">
        <v>1321</v>
      </c>
      <c r="D1321" s="1" t="s">
        <v>2615</v>
      </c>
      <c r="E1321" s="1" t="s">
        <v>2616</v>
      </c>
    </row>
    <row r="1322" spans="1:5" ht="25">
      <c r="A1322" s="2">
        <f ca="1">IF(COUNTIF($AA$1:$BXX$24,1322) = 0,RAND(),RAND()-1)</f>
        <v>0.72090230753485907</v>
      </c>
      <c r="B1322" s="2" t="e">
        <f t="shared" ca="1" si="28"/>
        <v>#N/A</v>
      </c>
      <c r="C1322" s="1">
        <v>1322</v>
      </c>
      <c r="D1322" s="1" t="s">
        <v>2617</v>
      </c>
      <c r="E1322" s="1" t="s">
        <v>2618</v>
      </c>
    </row>
    <row r="1323" spans="1:5" ht="25">
      <c r="A1323" s="2">
        <f ca="1">IF(COUNTIF($AA$1:$BXX$24,1323) = 0,RAND(),RAND()-1)</f>
        <v>0.85099383680949203</v>
      </c>
      <c r="B1323" s="2" t="e">
        <f t="shared" ca="1" si="28"/>
        <v>#N/A</v>
      </c>
      <c r="C1323" s="1">
        <v>1323</v>
      </c>
      <c r="D1323" s="1" t="s">
        <v>2619</v>
      </c>
      <c r="E1323" s="1" t="s">
        <v>2620</v>
      </c>
    </row>
    <row r="1324" spans="1:5" ht="25">
      <c r="A1324" s="2">
        <f ca="1">IF(COUNTIF($AA$1:$BXX$24,1324) = 0,RAND(),RAND()-1)</f>
        <v>0.39444636687416668</v>
      </c>
      <c r="B1324" s="2" t="e">
        <f t="shared" ca="1" si="28"/>
        <v>#N/A</v>
      </c>
      <c r="C1324" s="1">
        <v>1324</v>
      </c>
      <c r="D1324" s="1" t="s">
        <v>2621</v>
      </c>
      <c r="E1324" s="1" t="s">
        <v>2622</v>
      </c>
    </row>
    <row r="1325" spans="1:5" ht="25">
      <c r="A1325" s="2">
        <f ca="1">IF(COUNTIF($AA$1:$BXX$24,1325) = 0,RAND(),RAND()-1)</f>
        <v>0.78233936692167427</v>
      </c>
      <c r="B1325" s="2" t="e">
        <f t="shared" ca="1" si="28"/>
        <v>#N/A</v>
      </c>
      <c r="C1325" s="1">
        <v>1325</v>
      </c>
      <c r="D1325" s="1" t="s">
        <v>2623</v>
      </c>
      <c r="E1325" s="1" t="s">
        <v>2624</v>
      </c>
    </row>
    <row r="1326" spans="1:5" ht="25">
      <c r="A1326" s="2">
        <f ca="1">IF(COUNTIF($AA$1:$BXX$24,1326) = 0,RAND(),RAND()-1)</f>
        <v>0.75524779797522656</v>
      </c>
      <c r="B1326" s="2" t="e">
        <f t="shared" ca="1" si="28"/>
        <v>#N/A</v>
      </c>
      <c r="C1326" s="1">
        <v>1326</v>
      </c>
      <c r="D1326" s="1" t="s">
        <v>2625</v>
      </c>
      <c r="E1326" s="1" t="s">
        <v>2626</v>
      </c>
    </row>
    <row r="1327" spans="1:5" ht="25">
      <c r="A1327" s="2">
        <f ca="1">IF(COUNTIF($AA$1:$BXX$24,1327) = 0,RAND(),RAND()-1)</f>
        <v>0.32223576883392269</v>
      </c>
      <c r="B1327" s="2" t="e">
        <f t="shared" ca="1" si="28"/>
        <v>#N/A</v>
      </c>
      <c r="C1327" s="1">
        <v>1327</v>
      </c>
      <c r="D1327" s="1" t="s">
        <v>2627</v>
      </c>
      <c r="E1327" s="1" t="s">
        <v>2628</v>
      </c>
    </row>
    <row r="1328" spans="1:5" ht="25">
      <c r="A1328" s="2">
        <f ca="1">IF(COUNTIF($AA$1:$BXX$24,1328) = 0,RAND(),RAND()-1)</f>
        <v>0.79706358944671529</v>
      </c>
      <c r="B1328" s="2" t="e">
        <f t="shared" ca="1" si="28"/>
        <v>#N/A</v>
      </c>
      <c r="C1328" s="1">
        <v>1328</v>
      </c>
      <c r="D1328" s="1" t="s">
        <v>2629</v>
      </c>
      <c r="E1328" s="1" t="s">
        <v>2630</v>
      </c>
    </row>
    <row r="1329" spans="1:5" ht="25">
      <c r="A1329" s="2">
        <f ca="1">IF(COUNTIF($AA$1:$BXX$24,1329) = 0,RAND(),RAND()-1)</f>
        <v>0.20764764016180282</v>
      </c>
      <c r="B1329" s="2" t="e">
        <f t="shared" ca="1" si="28"/>
        <v>#N/A</v>
      </c>
      <c r="C1329" s="1">
        <v>1329</v>
      </c>
      <c r="D1329" s="1" t="s">
        <v>2631</v>
      </c>
      <c r="E1329" s="1" t="s">
        <v>2632</v>
      </c>
    </row>
    <row r="1330" spans="1:5" ht="25">
      <c r="A1330" s="2">
        <f ca="1">IF(COUNTIF($AA$1:$BXX$24,1330) = 0,RAND(),RAND()-1)</f>
        <v>4.310094365166639E-2</v>
      </c>
      <c r="B1330" s="2" t="e">
        <f t="shared" ca="1" si="28"/>
        <v>#N/A</v>
      </c>
      <c r="C1330" s="1">
        <v>1330</v>
      </c>
      <c r="D1330" s="1" t="s">
        <v>2633</v>
      </c>
      <c r="E1330" s="1" t="s">
        <v>2634</v>
      </c>
    </row>
    <row r="1331" spans="1:5" ht="25">
      <c r="A1331" s="2">
        <f ca="1">IF(COUNTIF($AA$1:$BXX$24,1331) = 0,RAND(),RAND()-1)</f>
        <v>0.49485698094539921</v>
      </c>
      <c r="B1331" s="2" t="e">
        <f t="shared" ca="1" si="28"/>
        <v>#N/A</v>
      </c>
      <c r="C1331" s="1">
        <v>1331</v>
      </c>
      <c r="D1331" s="1" t="s">
        <v>2635</v>
      </c>
      <c r="E1331" s="1" t="s">
        <v>2636</v>
      </c>
    </row>
    <row r="1332" spans="1:5" ht="25">
      <c r="A1332" s="2">
        <f ca="1">IF(COUNTIF($AA$1:$BXX$24,1332) = 0,RAND(),RAND()-1)</f>
        <v>0.29288238190013438</v>
      </c>
      <c r="B1332" s="2" t="e">
        <f t="shared" ca="1" si="28"/>
        <v>#N/A</v>
      </c>
      <c r="C1332" s="1">
        <v>1332</v>
      </c>
      <c r="D1332" s="1" t="s">
        <v>2637</v>
      </c>
      <c r="E1332" s="1" t="s">
        <v>2638</v>
      </c>
    </row>
    <row r="1333" spans="1:5" ht="25">
      <c r="A1333" s="2">
        <f ca="1">IF(COUNTIF($AA$1:$BXX$24,1333) = 0,RAND(),RAND()-1)</f>
        <v>0.43959195272235241</v>
      </c>
      <c r="B1333" s="2" t="e">
        <f t="shared" ca="1" si="28"/>
        <v>#N/A</v>
      </c>
      <c r="C1333" s="1">
        <v>1333</v>
      </c>
      <c r="D1333" s="1" t="s">
        <v>2639</v>
      </c>
      <c r="E1333" s="1" t="s">
        <v>2640</v>
      </c>
    </row>
    <row r="1334" spans="1:5" ht="25">
      <c r="A1334" s="2">
        <f ca="1">IF(COUNTIF($AA$1:$BXX$24,1334) = 0,RAND(),RAND()-1)</f>
        <v>0.34397051847057547</v>
      </c>
      <c r="B1334" s="2" t="e">
        <f t="shared" ca="1" si="28"/>
        <v>#N/A</v>
      </c>
      <c r="C1334" s="1">
        <v>1334</v>
      </c>
      <c r="D1334" s="1" t="s">
        <v>2641</v>
      </c>
      <c r="E1334" s="1" t="s">
        <v>2642</v>
      </c>
    </row>
    <row r="1335" spans="1:5" ht="25">
      <c r="A1335" s="2">
        <f ca="1">IF(COUNTIF($AA$1:$BXX$24,1335) = 0,RAND(),RAND()-1)</f>
        <v>0.27749465595330003</v>
      </c>
      <c r="B1335" s="2" t="e">
        <f t="shared" ca="1" si="28"/>
        <v>#N/A</v>
      </c>
      <c r="C1335" s="1">
        <v>1335</v>
      </c>
      <c r="D1335" s="1" t="s">
        <v>2643</v>
      </c>
      <c r="E1335" s="1" t="s">
        <v>2644</v>
      </c>
    </row>
    <row r="1336" spans="1:5" ht="25">
      <c r="A1336" s="2">
        <f ca="1">IF(COUNTIF($AA$1:$BXX$24,1336) = 0,RAND(),RAND()-1)</f>
        <v>0.69749033853814968</v>
      </c>
      <c r="B1336" s="2" t="e">
        <f t="shared" ca="1" si="28"/>
        <v>#N/A</v>
      </c>
      <c r="C1336" s="1">
        <v>1336</v>
      </c>
      <c r="D1336" s="1" t="s">
        <v>2645</v>
      </c>
      <c r="E1336" s="1" t="s">
        <v>2646</v>
      </c>
    </row>
    <row r="1337" spans="1:5" ht="25">
      <c r="A1337" s="2">
        <f ca="1">IF(COUNTIF($AA$1:$BXX$24,1337) = 0,RAND(),RAND()-1)</f>
        <v>4.9655663478489487E-3</v>
      </c>
      <c r="B1337" s="2" t="e">
        <f t="shared" ca="1" si="28"/>
        <v>#N/A</v>
      </c>
      <c r="C1337" s="1">
        <v>1337</v>
      </c>
      <c r="D1337" s="1" t="s">
        <v>2647</v>
      </c>
      <c r="E1337" s="1" t="s">
        <v>2648</v>
      </c>
    </row>
    <row r="1338" spans="1:5" ht="25">
      <c r="A1338" s="2">
        <f ca="1">IF(COUNTIF($AA$1:$BXX$24,1338) = 0,RAND(),RAND()-1)</f>
        <v>0.97080076257798298</v>
      </c>
      <c r="B1338" s="2" t="e">
        <f t="shared" ca="1" si="28"/>
        <v>#N/A</v>
      </c>
      <c r="C1338" s="1">
        <v>1338</v>
      </c>
      <c r="D1338" s="1" t="s">
        <v>2649</v>
      </c>
      <c r="E1338" s="1" t="s">
        <v>2650</v>
      </c>
    </row>
    <row r="1339" spans="1:5" ht="25">
      <c r="A1339" s="2">
        <f ca="1">IF(COUNTIF($AA$1:$BXX$24,1339) = 0,RAND(),RAND()-1)</f>
        <v>0.74751436379107283</v>
      </c>
      <c r="B1339" s="2" t="e">
        <f t="shared" ca="1" si="28"/>
        <v>#N/A</v>
      </c>
      <c r="C1339" s="1">
        <v>1339</v>
      </c>
      <c r="D1339" s="1" t="s">
        <v>2651</v>
      </c>
      <c r="E1339" s="1" t="s">
        <v>2652</v>
      </c>
    </row>
    <row r="1340" spans="1:5" ht="25">
      <c r="A1340" s="2">
        <f ca="1">IF(COUNTIF($AA$1:$BXX$24,1340) = 0,RAND(),RAND()-1)</f>
        <v>0.53862294375467312</v>
      </c>
      <c r="B1340" s="2" t="e">
        <f t="shared" ca="1" si="28"/>
        <v>#N/A</v>
      </c>
      <c r="C1340" s="1">
        <v>1340</v>
      </c>
      <c r="D1340" s="1" t="s">
        <v>2653</v>
      </c>
      <c r="E1340" s="1" t="s">
        <v>2654</v>
      </c>
    </row>
    <row r="1341" spans="1:5" ht="25">
      <c r="A1341" s="2">
        <f ca="1">IF(COUNTIF($AA$1:$BXX$24,1341) = 0,RAND(),RAND()-1)</f>
        <v>0.93193783539952746</v>
      </c>
      <c r="B1341" s="2" t="e">
        <f t="shared" ca="1" si="28"/>
        <v>#N/A</v>
      </c>
      <c r="C1341" s="1">
        <v>1341</v>
      </c>
      <c r="D1341" s="1" t="s">
        <v>2655</v>
      </c>
      <c r="E1341" s="1" t="s">
        <v>2656</v>
      </c>
    </row>
    <row r="1342" spans="1:5" ht="25">
      <c r="A1342" s="2">
        <f ca="1">IF(COUNTIF($AA$1:$BXX$24,1342) = 0,RAND(),RAND()-1)</f>
        <v>0.91450666550636295</v>
      </c>
      <c r="B1342" s="2" t="e">
        <f t="shared" ca="1" si="28"/>
        <v>#N/A</v>
      </c>
      <c r="C1342" s="1">
        <v>1342</v>
      </c>
      <c r="D1342" s="1" t="s">
        <v>2657</v>
      </c>
      <c r="E1342" s="1" t="s">
        <v>2658</v>
      </c>
    </row>
    <row r="1343" spans="1:5" ht="25">
      <c r="A1343" s="2">
        <f ca="1">IF(COUNTIF($AA$1:$BXX$24,1343) = 0,RAND(),RAND()-1)</f>
        <v>6.1686690917815312E-2</v>
      </c>
      <c r="B1343" s="2" t="e">
        <f t="shared" ca="1" si="28"/>
        <v>#N/A</v>
      </c>
      <c r="C1343" s="1">
        <v>1343</v>
      </c>
      <c r="D1343" s="1" t="s">
        <v>2659</v>
      </c>
      <c r="E1343" s="1" t="s">
        <v>2660</v>
      </c>
    </row>
    <row r="1344" spans="1:5" ht="25">
      <c r="A1344" s="2">
        <f ca="1">IF(COUNTIF($AA$1:$BXX$24,1344) = 0,RAND(),RAND()-1)</f>
        <v>0.26961935901556033</v>
      </c>
      <c r="B1344" s="2" t="e">
        <f t="shared" ca="1" si="28"/>
        <v>#N/A</v>
      </c>
      <c r="C1344" s="1">
        <v>1344</v>
      </c>
      <c r="D1344" s="1" t="s">
        <v>2661</v>
      </c>
      <c r="E1344" s="1" t="s">
        <v>2662</v>
      </c>
    </row>
    <row r="1345" spans="1:5" ht="25">
      <c r="A1345" s="2">
        <f ca="1">IF(COUNTIF($AA$1:$BXX$24,1345) = 0,RAND(),RAND()-1)</f>
        <v>0.23224703986042483</v>
      </c>
      <c r="B1345" s="2" t="e">
        <f t="shared" ref="B1345:B1408" ca="1" si="29">RANK(A1345,OFFSET($A$1,$G$1-1,0,$G$2-$G$1+1))</f>
        <v>#N/A</v>
      </c>
      <c r="C1345" s="1">
        <v>1345</v>
      </c>
      <c r="D1345" s="1" t="s">
        <v>2663</v>
      </c>
      <c r="E1345" s="1" t="s">
        <v>2664</v>
      </c>
    </row>
    <row r="1346" spans="1:5" ht="25">
      <c r="A1346" s="2">
        <f ca="1">IF(COUNTIF($AA$1:$BXX$24,1346) = 0,RAND(),RAND()-1)</f>
        <v>0.16077866729372225</v>
      </c>
      <c r="B1346" s="2" t="e">
        <f t="shared" ca="1" si="29"/>
        <v>#N/A</v>
      </c>
      <c r="C1346" s="1">
        <v>1346</v>
      </c>
      <c r="D1346" s="1" t="s">
        <v>2665</v>
      </c>
      <c r="E1346" s="1" t="s">
        <v>2666</v>
      </c>
    </row>
    <row r="1347" spans="1:5" ht="25">
      <c r="A1347" s="2">
        <f ca="1">IF(COUNTIF($AA$1:$BXX$24,1347) = 0,RAND(),RAND()-1)</f>
        <v>0.82157796300850539</v>
      </c>
      <c r="B1347" s="2" t="e">
        <f t="shared" ca="1" si="29"/>
        <v>#N/A</v>
      </c>
      <c r="C1347" s="1">
        <v>1347</v>
      </c>
      <c r="D1347" s="1" t="s">
        <v>2667</v>
      </c>
      <c r="E1347" s="1" t="s">
        <v>2668</v>
      </c>
    </row>
    <row r="1348" spans="1:5" ht="25">
      <c r="A1348" s="2">
        <f ca="1">IF(COUNTIF($AA$1:$BXX$24,1348) = 0,RAND(),RAND()-1)</f>
        <v>0.56162501684392163</v>
      </c>
      <c r="B1348" s="2" t="e">
        <f t="shared" ca="1" si="29"/>
        <v>#N/A</v>
      </c>
      <c r="C1348" s="1">
        <v>1348</v>
      </c>
      <c r="D1348" s="1" t="s">
        <v>2669</v>
      </c>
      <c r="E1348" s="1" t="s">
        <v>2670</v>
      </c>
    </row>
    <row r="1349" spans="1:5" ht="25">
      <c r="A1349" s="2">
        <f ca="1">IF(COUNTIF($AA$1:$BXX$24,1349) = 0,RAND(),RAND()-1)</f>
        <v>0.67802117143969742</v>
      </c>
      <c r="B1349" s="2" t="e">
        <f t="shared" ca="1" si="29"/>
        <v>#N/A</v>
      </c>
      <c r="C1349" s="1">
        <v>1349</v>
      </c>
      <c r="D1349" s="1" t="s">
        <v>2671</v>
      </c>
      <c r="E1349" s="1" t="s">
        <v>2672</v>
      </c>
    </row>
    <row r="1350" spans="1:5" ht="25">
      <c r="A1350" s="2">
        <f ca="1">IF(COUNTIF($AA$1:$BXX$24,1350) = 0,RAND(),RAND()-1)</f>
        <v>0.90185754509915339</v>
      </c>
      <c r="B1350" s="2" t="e">
        <f t="shared" ca="1" si="29"/>
        <v>#N/A</v>
      </c>
      <c r="C1350" s="1">
        <v>1350</v>
      </c>
      <c r="D1350" s="1" t="s">
        <v>2673</v>
      </c>
      <c r="E1350" s="1" t="s">
        <v>2674</v>
      </c>
    </row>
    <row r="1351" spans="1:5" ht="25">
      <c r="A1351" s="2">
        <f ca="1">IF(COUNTIF($AA$1:$BXX$24,1351) = 0,RAND(),RAND()-1)</f>
        <v>0.19846160825935621</v>
      </c>
      <c r="B1351" s="2" t="e">
        <f t="shared" ca="1" si="29"/>
        <v>#N/A</v>
      </c>
      <c r="C1351" s="1">
        <v>1351</v>
      </c>
      <c r="D1351" s="1" t="s">
        <v>2675</v>
      </c>
      <c r="E1351" s="1" t="s">
        <v>2676</v>
      </c>
    </row>
    <row r="1352" spans="1:5" ht="25">
      <c r="A1352" s="2">
        <f ca="1">IF(COUNTIF($AA$1:$BXX$24,1352) = 0,RAND(),RAND()-1)</f>
        <v>0.27789843079970244</v>
      </c>
      <c r="B1352" s="2" t="e">
        <f t="shared" ca="1" si="29"/>
        <v>#N/A</v>
      </c>
      <c r="C1352" s="1">
        <v>1352</v>
      </c>
      <c r="D1352" s="1" t="s">
        <v>2677</v>
      </c>
      <c r="E1352" s="1" t="s">
        <v>2678</v>
      </c>
    </row>
    <row r="1353" spans="1:5" ht="25">
      <c r="A1353" s="2">
        <f ca="1">IF(COUNTIF($AA$1:$BXX$24,1353) = 0,RAND(),RAND()-1)</f>
        <v>0.52734495758724853</v>
      </c>
      <c r="B1353" s="2" t="e">
        <f t="shared" ca="1" si="29"/>
        <v>#N/A</v>
      </c>
      <c r="C1353" s="1">
        <v>1353</v>
      </c>
      <c r="D1353" s="1" t="s">
        <v>2679</v>
      </c>
      <c r="E1353" s="1" t="s">
        <v>2680</v>
      </c>
    </row>
    <row r="1354" spans="1:5" ht="25">
      <c r="A1354" s="2">
        <f ca="1">IF(COUNTIF($AA$1:$BXX$24,1354) = 0,RAND(),RAND()-1)</f>
        <v>0.18704509873177144</v>
      </c>
      <c r="B1354" s="2" t="e">
        <f t="shared" ca="1" si="29"/>
        <v>#N/A</v>
      </c>
      <c r="C1354" s="1">
        <v>1354</v>
      </c>
      <c r="D1354" s="1" t="s">
        <v>2681</v>
      </c>
      <c r="E1354" s="1" t="s">
        <v>2682</v>
      </c>
    </row>
    <row r="1355" spans="1:5" ht="25">
      <c r="A1355" s="2">
        <f ca="1">IF(COUNTIF($AA$1:$BXX$24,1355) = 0,RAND(),RAND()-1)</f>
        <v>3.3794487172194132E-2</v>
      </c>
      <c r="B1355" s="2" t="e">
        <f t="shared" ca="1" si="29"/>
        <v>#N/A</v>
      </c>
      <c r="C1355" s="1">
        <v>1355</v>
      </c>
      <c r="D1355" s="1" t="s">
        <v>2683</v>
      </c>
      <c r="E1355" s="1" t="s">
        <v>2684</v>
      </c>
    </row>
    <row r="1356" spans="1:5" ht="25">
      <c r="A1356" s="2">
        <f ca="1">IF(COUNTIF($AA$1:$BXX$24,1356) = 0,RAND(),RAND()-1)</f>
        <v>0.17265275909361066</v>
      </c>
      <c r="B1356" s="2" t="e">
        <f t="shared" ca="1" si="29"/>
        <v>#N/A</v>
      </c>
      <c r="C1356" s="1">
        <v>1356</v>
      </c>
      <c r="D1356" s="1" t="s">
        <v>2685</v>
      </c>
      <c r="E1356" s="1" t="s">
        <v>2686</v>
      </c>
    </row>
    <row r="1357" spans="1:5" ht="25">
      <c r="A1357" s="2">
        <f ca="1">IF(COUNTIF($AA$1:$BXX$24,1357) = 0,RAND(),RAND()-1)</f>
        <v>0.18486560567406229</v>
      </c>
      <c r="B1357" s="2" t="e">
        <f t="shared" ca="1" si="29"/>
        <v>#N/A</v>
      </c>
      <c r="C1357" s="1">
        <v>1357</v>
      </c>
      <c r="D1357" s="1" t="s">
        <v>2687</v>
      </c>
      <c r="E1357" s="1" t="s">
        <v>2688</v>
      </c>
    </row>
    <row r="1358" spans="1:5" ht="25">
      <c r="A1358" s="2">
        <f ca="1">IF(COUNTIF($AA$1:$BXX$24,1358) = 0,RAND(),RAND()-1)</f>
        <v>0.14607513819652929</v>
      </c>
      <c r="B1358" s="2" t="e">
        <f t="shared" ca="1" si="29"/>
        <v>#N/A</v>
      </c>
      <c r="C1358" s="1">
        <v>1358</v>
      </c>
      <c r="D1358" s="1" t="s">
        <v>2689</v>
      </c>
      <c r="E1358" s="1" t="s">
        <v>2690</v>
      </c>
    </row>
    <row r="1359" spans="1:5" ht="25">
      <c r="A1359" s="2">
        <f ca="1">IF(COUNTIF($AA$1:$BXX$24,1359) = 0,RAND(),RAND()-1)</f>
        <v>6.7239662638119979E-3</v>
      </c>
      <c r="B1359" s="2" t="e">
        <f t="shared" ca="1" si="29"/>
        <v>#N/A</v>
      </c>
      <c r="C1359" s="1">
        <v>1359</v>
      </c>
      <c r="D1359" s="1" t="s">
        <v>2691</v>
      </c>
      <c r="E1359" s="1" t="s">
        <v>2692</v>
      </c>
    </row>
    <row r="1360" spans="1:5" ht="25">
      <c r="A1360" s="2">
        <f ca="1">IF(COUNTIF($AA$1:$BXX$24,1360) = 0,RAND(),RAND()-1)</f>
        <v>0.61851878216384137</v>
      </c>
      <c r="B1360" s="2" t="e">
        <f t="shared" ca="1" si="29"/>
        <v>#N/A</v>
      </c>
      <c r="C1360" s="1">
        <v>1360</v>
      </c>
      <c r="D1360" s="1" t="s">
        <v>2693</v>
      </c>
      <c r="E1360" s="1" t="s">
        <v>2694</v>
      </c>
    </row>
    <row r="1361" spans="1:5" ht="25">
      <c r="A1361" s="2">
        <f ca="1">IF(COUNTIF($AA$1:$BXX$24,1361) = 0,RAND(),RAND()-1)</f>
        <v>0.99558851450529828</v>
      </c>
      <c r="B1361" s="2" t="e">
        <f t="shared" ca="1" si="29"/>
        <v>#N/A</v>
      </c>
      <c r="C1361" s="1">
        <v>1361</v>
      </c>
      <c r="D1361" s="1" t="s">
        <v>2695</v>
      </c>
      <c r="E1361" s="1" t="s">
        <v>2696</v>
      </c>
    </row>
    <row r="1362" spans="1:5" ht="25">
      <c r="A1362" s="2">
        <f ca="1">IF(COUNTIF($AA$1:$BXX$24,1362) = 0,RAND(),RAND()-1)</f>
        <v>0.12315246087946519</v>
      </c>
      <c r="B1362" s="2" t="e">
        <f t="shared" ca="1" si="29"/>
        <v>#N/A</v>
      </c>
      <c r="C1362" s="1">
        <v>1362</v>
      </c>
      <c r="D1362" s="1" t="s">
        <v>2697</v>
      </c>
      <c r="E1362" s="1" t="s">
        <v>2698</v>
      </c>
    </row>
    <row r="1363" spans="1:5" ht="25">
      <c r="A1363" s="2">
        <f ca="1">IF(COUNTIF($AA$1:$BXX$24,1363) = 0,RAND(),RAND()-1)</f>
        <v>0.10207656631184658</v>
      </c>
      <c r="B1363" s="2" t="e">
        <f t="shared" ca="1" si="29"/>
        <v>#N/A</v>
      </c>
      <c r="C1363" s="1">
        <v>1363</v>
      </c>
      <c r="D1363" s="1" t="s">
        <v>2699</v>
      </c>
      <c r="E1363" s="1" t="s">
        <v>2700</v>
      </c>
    </row>
    <row r="1364" spans="1:5" ht="25">
      <c r="A1364" s="2">
        <f ca="1">IF(COUNTIF($AA$1:$BXX$24,1364) = 0,RAND(),RAND()-1)</f>
        <v>0.4632805462846149</v>
      </c>
      <c r="B1364" s="2" t="e">
        <f t="shared" ca="1" si="29"/>
        <v>#N/A</v>
      </c>
      <c r="C1364" s="1">
        <v>1364</v>
      </c>
      <c r="D1364" s="1" t="s">
        <v>2701</v>
      </c>
      <c r="E1364" s="1" t="s">
        <v>2702</v>
      </c>
    </row>
    <row r="1365" spans="1:5" ht="25">
      <c r="A1365" s="2">
        <f ca="1">IF(COUNTIF($AA$1:$BXX$24,1365) = 0,RAND(),RAND()-1)</f>
        <v>0.4720560580233919</v>
      </c>
      <c r="B1365" s="2" t="e">
        <f t="shared" ca="1" si="29"/>
        <v>#N/A</v>
      </c>
      <c r="C1365" s="1">
        <v>1365</v>
      </c>
      <c r="D1365" s="1" t="s">
        <v>2703</v>
      </c>
      <c r="E1365" s="1" t="s">
        <v>2704</v>
      </c>
    </row>
    <row r="1366" spans="1:5" ht="25">
      <c r="A1366" s="2">
        <f ca="1">IF(COUNTIF($AA$1:$BXX$24,1366) = 0,RAND(),RAND()-1)</f>
        <v>0.19336524629056151</v>
      </c>
      <c r="B1366" s="2" t="e">
        <f t="shared" ca="1" si="29"/>
        <v>#N/A</v>
      </c>
      <c r="C1366" s="1">
        <v>1366</v>
      </c>
      <c r="D1366" s="1" t="s">
        <v>2705</v>
      </c>
      <c r="E1366" s="1" t="s">
        <v>2706</v>
      </c>
    </row>
    <row r="1367" spans="1:5" ht="25">
      <c r="A1367" s="2">
        <f ca="1">IF(COUNTIF($AA$1:$BXX$24,1367) = 0,RAND(),RAND()-1)</f>
        <v>0.8393987953410792</v>
      </c>
      <c r="B1367" s="2" t="e">
        <f t="shared" ca="1" si="29"/>
        <v>#N/A</v>
      </c>
      <c r="C1367" s="1">
        <v>1367</v>
      </c>
      <c r="D1367" s="1" t="s">
        <v>2707</v>
      </c>
      <c r="E1367" s="1" t="s">
        <v>2708</v>
      </c>
    </row>
    <row r="1368" spans="1:5" ht="25">
      <c r="A1368" s="2">
        <f ca="1">IF(COUNTIF($AA$1:$BXX$24,1368) = 0,RAND(),RAND()-1)</f>
        <v>0.80454373711099103</v>
      </c>
      <c r="B1368" s="2" t="e">
        <f t="shared" ca="1" si="29"/>
        <v>#N/A</v>
      </c>
      <c r="C1368" s="1">
        <v>1368</v>
      </c>
      <c r="D1368" s="1" t="s">
        <v>2709</v>
      </c>
      <c r="E1368" s="1" t="s">
        <v>2710</v>
      </c>
    </row>
    <row r="1369" spans="1:5" ht="25">
      <c r="A1369" s="2">
        <f ca="1">IF(COUNTIF($AA$1:$BXX$24,1369) = 0,RAND(),RAND()-1)</f>
        <v>0.91628164359095043</v>
      </c>
      <c r="B1369" s="2" t="e">
        <f t="shared" ca="1" si="29"/>
        <v>#N/A</v>
      </c>
      <c r="C1369" s="1">
        <v>1369</v>
      </c>
      <c r="D1369" s="1" t="s">
        <v>2711</v>
      </c>
      <c r="E1369" s="1" t="s">
        <v>2712</v>
      </c>
    </row>
    <row r="1370" spans="1:5" ht="25">
      <c r="A1370" s="2">
        <f ca="1">IF(COUNTIF($AA$1:$BXX$24,1370) = 0,RAND(),RAND()-1)</f>
        <v>0.83309175844348471</v>
      </c>
      <c r="B1370" s="2" t="e">
        <f t="shared" ca="1" si="29"/>
        <v>#N/A</v>
      </c>
      <c r="C1370" s="1">
        <v>1370</v>
      </c>
      <c r="D1370" s="1" t="s">
        <v>2713</v>
      </c>
      <c r="E1370" s="1" t="s">
        <v>2690</v>
      </c>
    </row>
    <row r="1371" spans="1:5" ht="25">
      <c r="A1371" s="2">
        <f ca="1">IF(COUNTIF($AA$1:$BXX$24,1371) = 0,RAND(),RAND()-1)</f>
        <v>0.21350364541259481</v>
      </c>
      <c r="B1371" s="2" t="e">
        <f t="shared" ca="1" si="29"/>
        <v>#N/A</v>
      </c>
      <c r="C1371" s="1">
        <v>1371</v>
      </c>
      <c r="D1371" s="1" t="s">
        <v>2714</v>
      </c>
      <c r="E1371" s="1" t="s">
        <v>2715</v>
      </c>
    </row>
    <row r="1372" spans="1:5" ht="25">
      <c r="A1372" s="2">
        <f ca="1">IF(COUNTIF($AA$1:$BXX$24,1372) = 0,RAND(),RAND()-1)</f>
        <v>0.23932316101441653</v>
      </c>
      <c r="B1372" s="2" t="e">
        <f t="shared" ca="1" si="29"/>
        <v>#N/A</v>
      </c>
      <c r="C1372" s="1">
        <v>1372</v>
      </c>
      <c r="D1372" s="1" t="s">
        <v>2716</v>
      </c>
      <c r="E1372" s="1" t="s">
        <v>2717</v>
      </c>
    </row>
    <row r="1373" spans="1:5" ht="25">
      <c r="A1373" s="2">
        <f ca="1">IF(COUNTIF($AA$1:$BXX$24,1373) = 0,RAND(),RAND()-1)</f>
        <v>0.57791978426074297</v>
      </c>
      <c r="B1373" s="2" t="e">
        <f t="shared" ca="1" si="29"/>
        <v>#N/A</v>
      </c>
      <c r="C1373" s="1">
        <v>1373</v>
      </c>
      <c r="D1373" s="1" t="s">
        <v>2718</v>
      </c>
      <c r="E1373" s="1" t="s">
        <v>2719</v>
      </c>
    </row>
    <row r="1374" spans="1:5" ht="25">
      <c r="A1374" s="2">
        <f ca="1">IF(COUNTIF($AA$1:$BXX$24,1374) = 0,RAND(),RAND()-1)</f>
        <v>0.66089500647568056</v>
      </c>
      <c r="B1374" s="2" t="e">
        <f t="shared" ca="1" si="29"/>
        <v>#N/A</v>
      </c>
      <c r="C1374" s="1">
        <v>1374</v>
      </c>
      <c r="D1374" s="1" t="s">
        <v>2720</v>
      </c>
      <c r="E1374" s="1" t="s">
        <v>2721</v>
      </c>
    </row>
    <row r="1375" spans="1:5" ht="25">
      <c r="A1375" s="2">
        <f ca="1">IF(COUNTIF($AA$1:$BXX$24,1375) = 0,RAND(),RAND()-1)</f>
        <v>0.78949500909746462</v>
      </c>
      <c r="B1375" s="2" t="e">
        <f t="shared" ca="1" si="29"/>
        <v>#N/A</v>
      </c>
      <c r="C1375" s="1">
        <v>1375</v>
      </c>
      <c r="D1375" s="1" t="s">
        <v>2722</v>
      </c>
      <c r="E1375" s="1" t="s">
        <v>2723</v>
      </c>
    </row>
    <row r="1376" spans="1:5" ht="25">
      <c r="A1376" s="2">
        <f ca="1">IF(COUNTIF($AA$1:$BXX$24,1376) = 0,RAND(),RAND()-1)</f>
        <v>0.96410450708683448</v>
      </c>
      <c r="B1376" s="2" t="e">
        <f t="shared" ca="1" si="29"/>
        <v>#N/A</v>
      </c>
      <c r="C1376" s="1">
        <v>1376</v>
      </c>
      <c r="D1376" s="1" t="s">
        <v>2724</v>
      </c>
      <c r="E1376" s="1" t="s">
        <v>2725</v>
      </c>
    </row>
    <row r="1377" spans="1:5" ht="25">
      <c r="A1377" s="2">
        <f ca="1">IF(COUNTIF($AA$1:$BXX$24,1377) = 0,RAND(),RAND()-1)</f>
        <v>0.54396616391609476</v>
      </c>
      <c r="B1377" s="2" t="e">
        <f t="shared" ca="1" si="29"/>
        <v>#N/A</v>
      </c>
      <c r="C1377" s="1">
        <v>1377</v>
      </c>
      <c r="D1377" s="1" t="s">
        <v>2726</v>
      </c>
      <c r="E1377" s="1" t="s">
        <v>2727</v>
      </c>
    </row>
    <row r="1378" spans="1:5" ht="25">
      <c r="A1378" s="2">
        <f ca="1">IF(COUNTIF($AA$1:$BXX$24,1378) = 0,RAND(),RAND()-1)</f>
        <v>0.68429129403884292</v>
      </c>
      <c r="B1378" s="2" t="e">
        <f t="shared" ca="1" si="29"/>
        <v>#N/A</v>
      </c>
      <c r="C1378" s="1">
        <v>1378</v>
      </c>
      <c r="D1378" s="1" t="s">
        <v>2728</v>
      </c>
      <c r="E1378" s="1" t="s">
        <v>2729</v>
      </c>
    </row>
    <row r="1379" spans="1:5" ht="25">
      <c r="A1379" s="2">
        <f ca="1">IF(COUNTIF($AA$1:$BXX$24,1379) = 0,RAND(),RAND()-1)</f>
        <v>0.63544296835136216</v>
      </c>
      <c r="B1379" s="2" t="e">
        <f t="shared" ca="1" si="29"/>
        <v>#N/A</v>
      </c>
      <c r="C1379" s="1">
        <v>1379</v>
      </c>
      <c r="D1379" s="1" t="s">
        <v>2730</v>
      </c>
      <c r="E1379" s="1" t="s">
        <v>2731</v>
      </c>
    </row>
    <row r="1380" spans="1:5" ht="25">
      <c r="A1380" s="2">
        <f ca="1">IF(COUNTIF($AA$1:$BXX$24,1380) = 0,RAND(),RAND()-1)</f>
        <v>0.71655350271688023</v>
      </c>
      <c r="B1380" s="2" t="e">
        <f t="shared" ca="1" si="29"/>
        <v>#N/A</v>
      </c>
      <c r="C1380" s="1">
        <v>1380</v>
      </c>
      <c r="D1380" s="1" t="s">
        <v>2732</v>
      </c>
      <c r="E1380" s="1" t="s">
        <v>2733</v>
      </c>
    </row>
    <row r="1381" spans="1:5" ht="25">
      <c r="A1381" s="2">
        <f ca="1">IF(COUNTIF($AA$1:$BXX$24,1381) = 0,RAND(),RAND()-1)</f>
        <v>0.6080655904823461</v>
      </c>
      <c r="B1381" s="2" t="e">
        <f t="shared" ca="1" si="29"/>
        <v>#N/A</v>
      </c>
      <c r="C1381" s="1">
        <v>1381</v>
      </c>
      <c r="D1381" s="1" t="s">
        <v>2734</v>
      </c>
      <c r="E1381" s="1" t="s">
        <v>2735</v>
      </c>
    </row>
    <row r="1382" spans="1:5" ht="25">
      <c r="A1382" s="2">
        <f ca="1">IF(COUNTIF($AA$1:$BXX$24,1382) = 0,RAND(),RAND()-1)</f>
        <v>0.6709061275287761</v>
      </c>
      <c r="B1382" s="2" t="e">
        <f t="shared" ca="1" si="29"/>
        <v>#N/A</v>
      </c>
      <c r="C1382" s="1">
        <v>1382</v>
      </c>
      <c r="D1382" s="1" t="s">
        <v>2736</v>
      </c>
      <c r="E1382" s="1" t="s">
        <v>2737</v>
      </c>
    </row>
    <row r="1383" spans="1:5" ht="25">
      <c r="A1383" s="2">
        <f ca="1">IF(COUNTIF($AA$1:$BXX$24,1383) = 0,RAND(),RAND()-1)</f>
        <v>4.2083458597929058E-3</v>
      </c>
      <c r="B1383" s="2" t="e">
        <f t="shared" ca="1" si="29"/>
        <v>#N/A</v>
      </c>
      <c r="C1383" s="1">
        <v>1383</v>
      </c>
      <c r="D1383" s="1" t="s">
        <v>2738</v>
      </c>
      <c r="E1383" s="1" t="s">
        <v>2739</v>
      </c>
    </row>
    <row r="1384" spans="1:5" ht="25">
      <c r="A1384" s="2">
        <f ca="1">IF(COUNTIF($AA$1:$BXX$24,1384) = 0,RAND(),RAND()-1)</f>
        <v>0.19348479733729451</v>
      </c>
      <c r="B1384" s="2" t="e">
        <f t="shared" ca="1" si="29"/>
        <v>#N/A</v>
      </c>
      <c r="C1384" s="1">
        <v>1384</v>
      </c>
      <c r="D1384" s="1" t="s">
        <v>2740</v>
      </c>
      <c r="E1384" s="1" t="s">
        <v>2741</v>
      </c>
    </row>
    <row r="1385" spans="1:5" ht="25">
      <c r="A1385" s="2">
        <f ca="1">IF(COUNTIF($AA$1:$BXX$24,1385) = 0,RAND(),RAND()-1)</f>
        <v>0.52430184113183265</v>
      </c>
      <c r="B1385" s="2" t="e">
        <f t="shared" ca="1" si="29"/>
        <v>#N/A</v>
      </c>
      <c r="C1385" s="1">
        <v>1385</v>
      </c>
      <c r="D1385" s="1" t="s">
        <v>2742</v>
      </c>
      <c r="E1385" s="1" t="s">
        <v>2743</v>
      </c>
    </row>
    <row r="1386" spans="1:5" ht="25">
      <c r="A1386" s="2">
        <f ca="1">IF(COUNTIF($AA$1:$BXX$24,1386) = 0,RAND(),RAND()-1)</f>
        <v>0.9740941264362496</v>
      </c>
      <c r="B1386" s="2" t="e">
        <f t="shared" ca="1" si="29"/>
        <v>#N/A</v>
      </c>
      <c r="C1386" s="1">
        <v>1386</v>
      </c>
      <c r="D1386" s="1" t="s">
        <v>2744</v>
      </c>
      <c r="E1386" s="1" t="s">
        <v>2745</v>
      </c>
    </row>
    <row r="1387" spans="1:5" ht="25">
      <c r="A1387" s="2">
        <f ca="1">IF(COUNTIF($AA$1:$BXX$24,1387) = 0,RAND(),RAND()-1)</f>
        <v>0.79743687816178566</v>
      </c>
      <c r="B1387" s="2" t="e">
        <f t="shared" ca="1" si="29"/>
        <v>#N/A</v>
      </c>
      <c r="C1387" s="1">
        <v>1387</v>
      </c>
      <c r="D1387" s="1" t="s">
        <v>2746</v>
      </c>
      <c r="E1387" s="1" t="s">
        <v>2747</v>
      </c>
    </row>
    <row r="1388" spans="1:5" ht="25">
      <c r="A1388" s="2">
        <f ca="1">IF(COUNTIF($AA$1:$BXX$24,1388) = 0,RAND(),RAND()-1)</f>
        <v>0.57006535972267824</v>
      </c>
      <c r="B1388" s="2" t="e">
        <f t="shared" ca="1" si="29"/>
        <v>#N/A</v>
      </c>
      <c r="C1388" s="1">
        <v>1388</v>
      </c>
      <c r="D1388" s="1" t="s">
        <v>2748</v>
      </c>
      <c r="E1388" s="1" t="s">
        <v>2749</v>
      </c>
    </row>
    <row r="1389" spans="1:5" ht="25">
      <c r="A1389" s="2">
        <f ca="1">IF(COUNTIF($AA$1:$BXX$24,1389) = 0,RAND(),RAND()-1)</f>
        <v>0.81795335655694223</v>
      </c>
      <c r="B1389" s="2" t="e">
        <f t="shared" ca="1" si="29"/>
        <v>#N/A</v>
      </c>
      <c r="C1389" s="1">
        <v>1389</v>
      </c>
      <c r="D1389" s="1" t="s">
        <v>2750</v>
      </c>
      <c r="E1389" s="1" t="s">
        <v>2751</v>
      </c>
    </row>
    <row r="1390" spans="1:5" ht="25">
      <c r="A1390" s="2">
        <f ca="1">IF(COUNTIF($AA$1:$BXX$24,1390) = 0,RAND(),RAND()-1)</f>
        <v>0.96661431237741025</v>
      </c>
      <c r="B1390" s="2" t="e">
        <f t="shared" ca="1" si="29"/>
        <v>#N/A</v>
      </c>
      <c r="C1390" s="1">
        <v>1390</v>
      </c>
      <c r="D1390" s="1" t="s">
        <v>2752</v>
      </c>
      <c r="E1390" s="1" t="s">
        <v>2753</v>
      </c>
    </row>
    <row r="1391" spans="1:5" ht="25">
      <c r="A1391" s="2">
        <f ca="1">IF(COUNTIF($AA$1:$BXX$24,1391) = 0,RAND(),RAND()-1)</f>
        <v>0.96232324046566908</v>
      </c>
      <c r="B1391" s="2" t="e">
        <f t="shared" ca="1" si="29"/>
        <v>#N/A</v>
      </c>
      <c r="C1391" s="1">
        <v>1391</v>
      </c>
      <c r="D1391" s="1" t="s">
        <v>2754</v>
      </c>
      <c r="E1391" s="1" t="s">
        <v>2755</v>
      </c>
    </row>
    <row r="1392" spans="1:5" ht="25">
      <c r="A1392" s="2">
        <f ca="1">IF(COUNTIF($AA$1:$BXX$24,1392) = 0,RAND(),RAND()-1)</f>
        <v>0.96547574789500301</v>
      </c>
      <c r="B1392" s="2" t="e">
        <f t="shared" ca="1" si="29"/>
        <v>#N/A</v>
      </c>
      <c r="C1392" s="1">
        <v>1392</v>
      </c>
      <c r="D1392" s="1" t="s">
        <v>2756</v>
      </c>
      <c r="E1392" s="1" t="s">
        <v>2757</v>
      </c>
    </row>
    <row r="1393" spans="1:5" ht="25">
      <c r="A1393" s="2">
        <f ca="1">IF(COUNTIF($AA$1:$BXX$24,1393) = 0,RAND(),RAND()-1)</f>
        <v>0.93559585988544625</v>
      </c>
      <c r="B1393" s="2" t="e">
        <f t="shared" ca="1" si="29"/>
        <v>#N/A</v>
      </c>
      <c r="C1393" s="1">
        <v>1393</v>
      </c>
      <c r="D1393" s="1" t="s">
        <v>2758</v>
      </c>
      <c r="E1393" s="1" t="s">
        <v>2759</v>
      </c>
    </row>
    <row r="1394" spans="1:5" ht="25">
      <c r="A1394" s="2">
        <f ca="1">IF(COUNTIF($AA$1:$BXX$24,1394) = 0,RAND(),RAND()-1)</f>
        <v>0.34558772976383623</v>
      </c>
      <c r="B1394" s="2" t="e">
        <f t="shared" ca="1" si="29"/>
        <v>#N/A</v>
      </c>
      <c r="C1394" s="1">
        <v>1394</v>
      </c>
      <c r="D1394" s="1" t="s">
        <v>2760</v>
      </c>
      <c r="E1394" s="1" t="s">
        <v>2761</v>
      </c>
    </row>
    <row r="1395" spans="1:5" ht="25">
      <c r="A1395" s="2">
        <f ca="1">IF(COUNTIF($AA$1:$BXX$24,1395) = 0,RAND(),RAND()-1)</f>
        <v>0.48401631291217906</v>
      </c>
      <c r="B1395" s="2" t="e">
        <f t="shared" ca="1" si="29"/>
        <v>#N/A</v>
      </c>
      <c r="C1395" s="1">
        <v>1395</v>
      </c>
      <c r="D1395" s="1" t="s">
        <v>2762</v>
      </c>
      <c r="E1395" s="1" t="s">
        <v>2763</v>
      </c>
    </row>
    <row r="1396" spans="1:5" ht="25">
      <c r="A1396" s="2">
        <f ca="1">IF(COUNTIF($AA$1:$BXX$24,1396) = 0,RAND(),RAND()-1)</f>
        <v>0.81229426853953957</v>
      </c>
      <c r="B1396" s="2" t="e">
        <f t="shared" ca="1" si="29"/>
        <v>#N/A</v>
      </c>
      <c r="C1396" s="1">
        <v>1396</v>
      </c>
      <c r="D1396" s="1" t="s">
        <v>2764</v>
      </c>
      <c r="E1396" s="1" t="s">
        <v>2765</v>
      </c>
    </row>
    <row r="1397" spans="1:5" ht="25">
      <c r="A1397" s="2">
        <f ca="1">IF(COUNTIF($AA$1:$BXX$24,1397) = 0,RAND(),RAND()-1)</f>
        <v>0.20389875567104065</v>
      </c>
      <c r="B1397" s="2" t="e">
        <f t="shared" ca="1" si="29"/>
        <v>#N/A</v>
      </c>
      <c r="C1397" s="1">
        <v>1397</v>
      </c>
      <c r="D1397" s="1" t="s">
        <v>2766</v>
      </c>
      <c r="E1397" s="1" t="s">
        <v>2767</v>
      </c>
    </row>
    <row r="1398" spans="1:5" ht="25">
      <c r="A1398" s="2">
        <f ca="1">IF(COUNTIF($AA$1:$BXX$24,1398) = 0,RAND(),RAND()-1)</f>
        <v>0.86917233914810332</v>
      </c>
      <c r="B1398" s="2" t="e">
        <f t="shared" ca="1" si="29"/>
        <v>#N/A</v>
      </c>
      <c r="C1398" s="1">
        <v>1398</v>
      </c>
      <c r="D1398" s="1" t="s">
        <v>2768</v>
      </c>
      <c r="E1398" s="1" t="s">
        <v>2769</v>
      </c>
    </row>
    <row r="1399" spans="1:5" ht="25">
      <c r="A1399" s="2">
        <f ca="1">IF(COUNTIF($AA$1:$BXX$24,1399) = 0,RAND(),RAND()-1)</f>
        <v>0.72291415361839961</v>
      </c>
      <c r="B1399" s="2" t="e">
        <f t="shared" ca="1" si="29"/>
        <v>#N/A</v>
      </c>
      <c r="C1399" s="1">
        <v>1399</v>
      </c>
      <c r="D1399" s="1" t="s">
        <v>2770</v>
      </c>
      <c r="E1399" s="1" t="s">
        <v>2771</v>
      </c>
    </row>
    <row r="1400" spans="1:5" ht="25">
      <c r="A1400" s="2">
        <f ca="1">IF(COUNTIF($AA$1:$BXX$24,1400) = 0,RAND(),RAND()-1)</f>
        <v>0.18492867340276098</v>
      </c>
      <c r="B1400" s="2" t="e">
        <f t="shared" ca="1" si="29"/>
        <v>#N/A</v>
      </c>
      <c r="C1400" s="1">
        <v>1400</v>
      </c>
      <c r="D1400" s="1" t="s">
        <v>2772</v>
      </c>
      <c r="E1400" s="1" t="s">
        <v>2773</v>
      </c>
    </row>
    <row r="1401" spans="1:5" ht="25">
      <c r="A1401" s="2">
        <f ca="1">IF(COUNTIF($AA$1:$BXX$24,1401) = 0,RAND(),RAND()-1)</f>
        <v>0.70081073590720289</v>
      </c>
      <c r="B1401" s="2" t="e">
        <f t="shared" ca="1" si="29"/>
        <v>#N/A</v>
      </c>
      <c r="C1401" s="1">
        <v>1401</v>
      </c>
      <c r="D1401" s="1" t="s">
        <v>2774</v>
      </c>
      <c r="E1401" s="1" t="s">
        <v>2775</v>
      </c>
    </row>
    <row r="1402" spans="1:5" ht="25">
      <c r="A1402" s="2">
        <f ca="1">IF(COUNTIF($AA$1:$BXX$24,1402) = 0,RAND(),RAND()-1)</f>
        <v>0.27277130937530936</v>
      </c>
      <c r="B1402" s="2" t="e">
        <f t="shared" ca="1" si="29"/>
        <v>#N/A</v>
      </c>
      <c r="C1402" s="1">
        <v>1402</v>
      </c>
      <c r="D1402" s="1" t="s">
        <v>2776</v>
      </c>
      <c r="E1402" s="1" t="s">
        <v>2777</v>
      </c>
    </row>
    <row r="1403" spans="1:5" ht="25">
      <c r="A1403" s="2">
        <f ca="1">IF(COUNTIF($AA$1:$BXX$24,1403) = 0,RAND(),RAND()-1)</f>
        <v>0.74090273544050622</v>
      </c>
      <c r="B1403" s="2" t="e">
        <f t="shared" ca="1" si="29"/>
        <v>#N/A</v>
      </c>
      <c r="C1403" s="1">
        <v>1403</v>
      </c>
      <c r="D1403" s="1" t="s">
        <v>2778</v>
      </c>
      <c r="E1403" s="1" t="s">
        <v>2779</v>
      </c>
    </row>
    <row r="1404" spans="1:5" ht="25">
      <c r="A1404" s="2">
        <f ca="1">IF(COUNTIF($AA$1:$BXX$24,1404) = 0,RAND(),RAND()-1)</f>
        <v>0.75153582520959072</v>
      </c>
      <c r="B1404" s="2" t="e">
        <f t="shared" ca="1" si="29"/>
        <v>#N/A</v>
      </c>
      <c r="C1404" s="1">
        <v>1404</v>
      </c>
      <c r="D1404" s="1" t="s">
        <v>2780</v>
      </c>
      <c r="E1404" s="1" t="s">
        <v>2781</v>
      </c>
    </row>
    <row r="1405" spans="1:5" ht="25">
      <c r="A1405" s="2">
        <f ca="1">IF(COUNTIF($AA$1:$BXX$24,1405) = 0,RAND(),RAND()-1)</f>
        <v>0.62026798249059301</v>
      </c>
      <c r="B1405" s="2" t="e">
        <f t="shared" ca="1" si="29"/>
        <v>#N/A</v>
      </c>
      <c r="C1405" s="1">
        <v>1405</v>
      </c>
      <c r="D1405" s="1" t="s">
        <v>2782</v>
      </c>
      <c r="E1405" s="1" t="s">
        <v>2700</v>
      </c>
    </row>
    <row r="1406" spans="1:5" ht="25">
      <c r="A1406" s="2">
        <f ca="1">IF(COUNTIF($AA$1:$BXX$24,1406) = 0,RAND(),RAND()-1)</f>
        <v>0.9072360860923987</v>
      </c>
      <c r="B1406" s="2" t="e">
        <f t="shared" ca="1" si="29"/>
        <v>#N/A</v>
      </c>
      <c r="C1406" s="1">
        <v>1406</v>
      </c>
      <c r="D1406" s="1" t="s">
        <v>2783</v>
      </c>
      <c r="E1406" s="1" t="s">
        <v>2784</v>
      </c>
    </row>
    <row r="1407" spans="1:5" ht="25">
      <c r="A1407" s="2">
        <f ca="1">IF(COUNTIF($AA$1:$BXX$24,1407) = 0,RAND(),RAND()-1)</f>
        <v>0.97556724902497782</v>
      </c>
      <c r="B1407" s="2" t="e">
        <f t="shared" ca="1" si="29"/>
        <v>#N/A</v>
      </c>
      <c r="C1407" s="1">
        <v>1407</v>
      </c>
      <c r="D1407" s="1" t="s">
        <v>2785</v>
      </c>
      <c r="E1407" s="1" t="s">
        <v>2786</v>
      </c>
    </row>
    <row r="1408" spans="1:5" ht="25">
      <c r="A1408" s="2">
        <f ca="1">IF(COUNTIF($AA$1:$BXX$24,1408) = 0,RAND(),RAND()-1)</f>
        <v>0.1164089956030282</v>
      </c>
      <c r="B1408" s="2" t="e">
        <f t="shared" ca="1" si="29"/>
        <v>#N/A</v>
      </c>
      <c r="C1408" s="1">
        <v>1408</v>
      </c>
      <c r="D1408" s="1" t="s">
        <v>2787</v>
      </c>
      <c r="E1408" s="1" t="s">
        <v>2788</v>
      </c>
    </row>
    <row r="1409" spans="1:5" ht="25">
      <c r="A1409" s="2">
        <f ca="1">IF(COUNTIF($AA$1:$BXX$24,1409) = 0,RAND(),RAND()-1)</f>
        <v>0.45539950369613713</v>
      </c>
      <c r="B1409" s="2" t="e">
        <f t="shared" ref="B1409:B1472" ca="1" si="30">RANK(A1409,OFFSET($A$1,$G$1-1,0,$G$2-$G$1+1))</f>
        <v>#N/A</v>
      </c>
      <c r="C1409" s="1">
        <v>1409</v>
      </c>
      <c r="D1409" s="1" t="s">
        <v>2789</v>
      </c>
      <c r="E1409" s="1" t="s">
        <v>2790</v>
      </c>
    </row>
    <row r="1410" spans="1:5" ht="25">
      <c r="A1410" s="2">
        <f ca="1">IF(COUNTIF($AA$1:$BXX$24,1410) = 0,RAND(),RAND()-1)</f>
        <v>0.2908248719324501</v>
      </c>
      <c r="B1410" s="2" t="e">
        <f t="shared" ca="1" si="30"/>
        <v>#N/A</v>
      </c>
      <c r="C1410" s="1">
        <v>1410</v>
      </c>
      <c r="D1410" s="1" t="s">
        <v>2791</v>
      </c>
      <c r="E1410" s="1" t="s">
        <v>2792</v>
      </c>
    </row>
    <row r="1411" spans="1:5" ht="25">
      <c r="A1411" s="2">
        <f ca="1">IF(COUNTIF($AA$1:$BXX$24,1411) = 0,RAND(),RAND()-1)</f>
        <v>0.12030130275059281</v>
      </c>
      <c r="B1411" s="2" t="e">
        <f t="shared" ca="1" si="30"/>
        <v>#N/A</v>
      </c>
      <c r="C1411" s="1">
        <v>1411</v>
      </c>
      <c r="D1411" s="1" t="s">
        <v>2793</v>
      </c>
      <c r="E1411" s="1" t="s">
        <v>2794</v>
      </c>
    </row>
    <row r="1412" spans="1:5" ht="25">
      <c r="A1412" s="2">
        <f ca="1">IF(COUNTIF($AA$1:$BXX$24,1412) = 0,RAND(),RAND()-1)</f>
        <v>0.99119434188335886</v>
      </c>
      <c r="B1412" s="2" t="e">
        <f t="shared" ca="1" si="30"/>
        <v>#N/A</v>
      </c>
      <c r="C1412" s="1">
        <v>1412</v>
      </c>
      <c r="D1412" s="1" t="s">
        <v>2795</v>
      </c>
      <c r="E1412" s="1" t="s">
        <v>2796</v>
      </c>
    </row>
    <row r="1413" spans="1:5" ht="25">
      <c r="A1413" s="2">
        <f ca="1">IF(COUNTIF($AA$1:$BXX$24,1413) = 0,RAND(),RAND()-1)</f>
        <v>0.77260333287392502</v>
      </c>
      <c r="B1413" s="2" t="e">
        <f t="shared" ca="1" si="30"/>
        <v>#N/A</v>
      </c>
      <c r="C1413" s="1">
        <v>1413</v>
      </c>
      <c r="D1413" s="1" t="s">
        <v>2797</v>
      </c>
      <c r="E1413" s="1" t="s">
        <v>2798</v>
      </c>
    </row>
    <row r="1414" spans="1:5" ht="25">
      <c r="A1414" s="2">
        <f ca="1">IF(COUNTIF($AA$1:$BXX$24,1414) = 0,RAND(),RAND()-1)</f>
        <v>0.25821498116868169</v>
      </c>
      <c r="B1414" s="2" t="e">
        <f t="shared" ca="1" si="30"/>
        <v>#N/A</v>
      </c>
      <c r="C1414" s="1">
        <v>1414</v>
      </c>
      <c r="D1414" s="1" t="s">
        <v>2799</v>
      </c>
      <c r="E1414" s="1" t="s">
        <v>2800</v>
      </c>
    </row>
    <row r="1415" spans="1:5" ht="25">
      <c r="A1415" s="2">
        <f ca="1">IF(COUNTIF($AA$1:$BXX$24,1415) = 0,RAND(),RAND()-1)</f>
        <v>0.32549532069712395</v>
      </c>
      <c r="B1415" s="2" t="e">
        <f t="shared" ca="1" si="30"/>
        <v>#N/A</v>
      </c>
      <c r="C1415" s="1">
        <v>1415</v>
      </c>
      <c r="D1415" s="1" t="s">
        <v>2801</v>
      </c>
      <c r="E1415" s="1" t="s">
        <v>2802</v>
      </c>
    </row>
    <row r="1416" spans="1:5" ht="25">
      <c r="A1416" s="2">
        <f ca="1">IF(COUNTIF($AA$1:$BXX$24,1416) = 0,RAND(),RAND()-1)</f>
        <v>0.71421240821577747</v>
      </c>
      <c r="B1416" s="2" t="e">
        <f t="shared" ca="1" si="30"/>
        <v>#N/A</v>
      </c>
      <c r="C1416" s="1">
        <v>1416</v>
      </c>
      <c r="D1416" s="1" t="s">
        <v>2803</v>
      </c>
      <c r="E1416" s="1" t="s">
        <v>2804</v>
      </c>
    </row>
    <row r="1417" spans="1:5" ht="25">
      <c r="A1417" s="2">
        <f ca="1">IF(COUNTIF($AA$1:$BXX$24,1417) = 0,RAND(),RAND()-1)</f>
        <v>0.54368286742569449</v>
      </c>
      <c r="B1417" s="2" t="e">
        <f t="shared" ca="1" si="30"/>
        <v>#N/A</v>
      </c>
      <c r="C1417" s="1">
        <v>1417</v>
      </c>
      <c r="D1417" s="1" t="s">
        <v>2805</v>
      </c>
      <c r="E1417" s="1" t="s">
        <v>2806</v>
      </c>
    </row>
    <row r="1418" spans="1:5" ht="25">
      <c r="A1418" s="2">
        <f ca="1">IF(COUNTIF($AA$1:$BXX$24,1418) = 0,RAND(),RAND()-1)</f>
        <v>0.10335674256409111</v>
      </c>
      <c r="B1418" s="2" t="e">
        <f t="shared" ca="1" si="30"/>
        <v>#N/A</v>
      </c>
      <c r="C1418" s="1">
        <v>1418</v>
      </c>
      <c r="D1418" s="1" t="s">
        <v>2807</v>
      </c>
      <c r="E1418" s="1" t="s">
        <v>2808</v>
      </c>
    </row>
    <row r="1419" spans="1:5" ht="25">
      <c r="A1419" s="2">
        <f ca="1">IF(COUNTIF($AA$1:$BXX$24,1419) = 0,RAND(),RAND()-1)</f>
        <v>5.8359118207623739E-3</v>
      </c>
      <c r="B1419" s="2" t="e">
        <f t="shared" ca="1" si="30"/>
        <v>#N/A</v>
      </c>
      <c r="C1419" s="1">
        <v>1419</v>
      </c>
      <c r="D1419" s="1" t="s">
        <v>2809</v>
      </c>
      <c r="E1419" s="1" t="s">
        <v>2810</v>
      </c>
    </row>
    <row r="1420" spans="1:5" ht="25">
      <c r="A1420" s="2">
        <f ca="1">IF(COUNTIF($AA$1:$BXX$24,1420) = 0,RAND(),RAND()-1)</f>
        <v>0.99868059213603022</v>
      </c>
      <c r="B1420" s="2" t="e">
        <f t="shared" ca="1" si="30"/>
        <v>#N/A</v>
      </c>
      <c r="C1420" s="1">
        <v>1420</v>
      </c>
      <c r="D1420" s="1" t="s">
        <v>2811</v>
      </c>
      <c r="E1420" s="1" t="s">
        <v>185</v>
      </c>
    </row>
    <row r="1421" spans="1:5" ht="25">
      <c r="A1421" s="2">
        <f ca="1">IF(COUNTIF($AA$1:$BXX$24,1421) = 0,RAND(),RAND()-1)</f>
        <v>0.73044251370098856</v>
      </c>
      <c r="B1421" s="2" t="e">
        <f t="shared" ca="1" si="30"/>
        <v>#N/A</v>
      </c>
      <c r="C1421" s="1">
        <v>1421</v>
      </c>
      <c r="D1421" s="1" t="s">
        <v>2812</v>
      </c>
      <c r="E1421" s="1" t="s">
        <v>2813</v>
      </c>
    </row>
    <row r="1422" spans="1:5" ht="25">
      <c r="A1422" s="2">
        <f ca="1">IF(COUNTIF($AA$1:$BXX$24,1422) = 0,RAND(),RAND()-1)</f>
        <v>0.30512450137172087</v>
      </c>
      <c r="B1422" s="2" t="e">
        <f t="shared" ca="1" si="30"/>
        <v>#N/A</v>
      </c>
      <c r="C1422" s="1">
        <v>1422</v>
      </c>
      <c r="D1422" s="1" t="s">
        <v>2814</v>
      </c>
      <c r="E1422" s="1" t="s">
        <v>2815</v>
      </c>
    </row>
    <row r="1423" spans="1:5" ht="25">
      <c r="A1423" s="2">
        <f ca="1">IF(COUNTIF($AA$1:$BXX$24,1423) = 0,RAND(),RAND()-1)</f>
        <v>0.89121672034178889</v>
      </c>
      <c r="B1423" s="2" t="e">
        <f t="shared" ca="1" si="30"/>
        <v>#N/A</v>
      </c>
      <c r="C1423" s="1">
        <v>1423</v>
      </c>
      <c r="D1423" s="1" t="s">
        <v>2816</v>
      </c>
      <c r="E1423" s="1" t="s">
        <v>2817</v>
      </c>
    </row>
    <row r="1424" spans="1:5" ht="25">
      <c r="A1424" s="2">
        <f ca="1">IF(COUNTIF($AA$1:$BXX$24,1424) = 0,RAND(),RAND()-1)</f>
        <v>0.40295602144226506</v>
      </c>
      <c r="B1424" s="2" t="e">
        <f t="shared" ca="1" si="30"/>
        <v>#N/A</v>
      </c>
      <c r="C1424" s="1">
        <v>1424</v>
      </c>
      <c r="D1424" s="1" t="s">
        <v>2818</v>
      </c>
      <c r="E1424" s="1" t="s">
        <v>2819</v>
      </c>
    </row>
    <row r="1425" spans="1:5" ht="25">
      <c r="A1425" s="2">
        <f ca="1">IF(COUNTIF($AA$1:$BXX$24,1425) = 0,RAND(),RAND()-1)</f>
        <v>0.61316597208630652</v>
      </c>
      <c r="B1425" s="2" t="e">
        <f t="shared" ca="1" si="30"/>
        <v>#N/A</v>
      </c>
      <c r="C1425" s="1">
        <v>1425</v>
      </c>
      <c r="D1425" s="1" t="s">
        <v>2820</v>
      </c>
      <c r="E1425" s="1" t="s">
        <v>2821</v>
      </c>
    </row>
    <row r="1426" spans="1:5" ht="25">
      <c r="A1426" s="2">
        <f ca="1">IF(COUNTIF($AA$1:$BXX$24,1426) = 0,RAND(),RAND()-1)</f>
        <v>0.24070901197560446</v>
      </c>
      <c r="B1426" s="2" t="e">
        <f t="shared" ca="1" si="30"/>
        <v>#N/A</v>
      </c>
      <c r="C1426" s="1">
        <v>1426</v>
      </c>
      <c r="D1426" s="1" t="s">
        <v>2822</v>
      </c>
      <c r="E1426" s="1" t="s">
        <v>2823</v>
      </c>
    </row>
    <row r="1427" spans="1:5" ht="25">
      <c r="A1427" s="2">
        <f ca="1">IF(COUNTIF($AA$1:$BXX$24,1427) = 0,RAND(),RAND()-1)</f>
        <v>0.21361692107542118</v>
      </c>
      <c r="B1427" s="2" t="e">
        <f t="shared" ca="1" si="30"/>
        <v>#N/A</v>
      </c>
      <c r="C1427" s="1">
        <v>1427</v>
      </c>
      <c r="D1427" s="1" t="s">
        <v>2824</v>
      </c>
      <c r="E1427" s="1" t="s">
        <v>2825</v>
      </c>
    </row>
    <row r="1428" spans="1:5" ht="25">
      <c r="A1428" s="2">
        <f ca="1">IF(COUNTIF($AA$1:$BXX$24,1428) = 0,RAND(),RAND()-1)</f>
        <v>0.94511040691220294</v>
      </c>
      <c r="B1428" s="2" t="e">
        <f t="shared" ca="1" si="30"/>
        <v>#N/A</v>
      </c>
      <c r="C1428" s="1">
        <v>1428</v>
      </c>
      <c r="D1428" s="1" t="s">
        <v>2826</v>
      </c>
      <c r="E1428" s="1" t="s">
        <v>2827</v>
      </c>
    </row>
    <row r="1429" spans="1:5" ht="25">
      <c r="A1429" s="2">
        <f ca="1">IF(COUNTIF($AA$1:$BXX$24,1429) = 0,RAND(),RAND()-1)</f>
        <v>0.20808328147315092</v>
      </c>
      <c r="B1429" s="2" t="e">
        <f t="shared" ca="1" si="30"/>
        <v>#N/A</v>
      </c>
      <c r="C1429" s="1">
        <v>1429</v>
      </c>
      <c r="D1429" s="1" t="s">
        <v>2828</v>
      </c>
      <c r="E1429" s="1" t="s">
        <v>2829</v>
      </c>
    </row>
    <row r="1430" spans="1:5" ht="25">
      <c r="A1430" s="2">
        <f ca="1">IF(COUNTIF($AA$1:$BXX$24,1430) = 0,RAND(),RAND()-1)</f>
        <v>0.88478726201929547</v>
      </c>
      <c r="B1430" s="2" t="e">
        <f t="shared" ca="1" si="30"/>
        <v>#N/A</v>
      </c>
      <c r="C1430" s="1">
        <v>1430</v>
      </c>
      <c r="D1430" s="1" t="s">
        <v>2830</v>
      </c>
      <c r="E1430" s="1" t="s">
        <v>2831</v>
      </c>
    </row>
    <row r="1431" spans="1:5" ht="25">
      <c r="A1431" s="2">
        <f ca="1">IF(COUNTIF($AA$1:$BXX$24,1431) = 0,RAND(),RAND()-1)</f>
        <v>0.79797561863830313</v>
      </c>
      <c r="B1431" s="2" t="e">
        <f t="shared" ca="1" si="30"/>
        <v>#N/A</v>
      </c>
      <c r="C1431" s="1">
        <v>1431</v>
      </c>
      <c r="D1431" s="1" t="s">
        <v>2832</v>
      </c>
      <c r="E1431" s="1" t="s">
        <v>2833</v>
      </c>
    </row>
    <row r="1432" spans="1:5" ht="25">
      <c r="A1432" s="2">
        <f ca="1">IF(COUNTIF($AA$1:$BXX$24,1432) = 0,RAND(),RAND()-1)</f>
        <v>0.46063060365421082</v>
      </c>
      <c r="B1432" s="2" t="e">
        <f t="shared" ca="1" si="30"/>
        <v>#N/A</v>
      </c>
      <c r="C1432" s="1">
        <v>1432</v>
      </c>
      <c r="D1432" s="1" t="s">
        <v>2834</v>
      </c>
      <c r="E1432" s="1" t="s">
        <v>2835</v>
      </c>
    </row>
    <row r="1433" spans="1:5" ht="25">
      <c r="A1433" s="2">
        <f ca="1">IF(COUNTIF($AA$1:$BXX$24,1433) = 0,RAND(),RAND()-1)</f>
        <v>0.3572580707004358</v>
      </c>
      <c r="B1433" s="2" t="e">
        <f t="shared" ca="1" si="30"/>
        <v>#N/A</v>
      </c>
      <c r="C1433" s="1">
        <v>1433</v>
      </c>
      <c r="D1433" s="1" t="s">
        <v>2836</v>
      </c>
      <c r="E1433" s="1" t="s">
        <v>2837</v>
      </c>
    </row>
    <row r="1434" spans="1:5" ht="25">
      <c r="A1434" s="2">
        <f ca="1">IF(COUNTIF($AA$1:$BXX$24,1434) = 0,RAND(),RAND()-1)</f>
        <v>0.74188591048928099</v>
      </c>
      <c r="B1434" s="2" t="e">
        <f t="shared" ca="1" si="30"/>
        <v>#N/A</v>
      </c>
      <c r="C1434" s="1">
        <v>1434</v>
      </c>
      <c r="D1434" s="1" t="s">
        <v>2838</v>
      </c>
      <c r="E1434" s="1" t="s">
        <v>2839</v>
      </c>
    </row>
    <row r="1435" spans="1:5" ht="25">
      <c r="A1435" s="2">
        <f ca="1">IF(COUNTIF($AA$1:$BXX$24,1435) = 0,RAND(),RAND()-1)</f>
        <v>0.7062120115040299</v>
      </c>
      <c r="B1435" s="2" t="e">
        <f t="shared" ca="1" si="30"/>
        <v>#N/A</v>
      </c>
      <c r="C1435" s="1">
        <v>1435</v>
      </c>
      <c r="D1435" s="1" t="s">
        <v>2840</v>
      </c>
      <c r="E1435" s="1" t="s">
        <v>2841</v>
      </c>
    </row>
    <row r="1436" spans="1:5" ht="25">
      <c r="A1436" s="2">
        <f ca="1">IF(COUNTIF($AA$1:$BXX$24,1436) = 0,RAND(),RAND()-1)</f>
        <v>0.25147850762176138</v>
      </c>
      <c r="B1436" s="2" t="e">
        <f t="shared" ca="1" si="30"/>
        <v>#N/A</v>
      </c>
      <c r="C1436" s="1">
        <v>1436</v>
      </c>
      <c r="D1436" s="1" t="s">
        <v>2842</v>
      </c>
      <c r="E1436" s="1" t="s">
        <v>2843</v>
      </c>
    </row>
    <row r="1437" spans="1:5" ht="25">
      <c r="A1437" s="2">
        <f ca="1">IF(COUNTIF($AA$1:$BXX$24,1437) = 0,RAND(),RAND()-1)</f>
        <v>0.26359336564291969</v>
      </c>
      <c r="B1437" s="2" t="e">
        <f t="shared" ca="1" si="30"/>
        <v>#N/A</v>
      </c>
      <c r="C1437" s="1">
        <v>1437</v>
      </c>
      <c r="D1437" s="1" t="s">
        <v>2844</v>
      </c>
      <c r="E1437" s="1" t="s">
        <v>2845</v>
      </c>
    </row>
    <row r="1438" spans="1:5" ht="25">
      <c r="A1438" s="2">
        <f ca="1">IF(COUNTIF($AA$1:$BXX$24,1438) = 0,RAND(),RAND()-1)</f>
        <v>4.4889258393142617E-2</v>
      </c>
      <c r="B1438" s="2" t="e">
        <f t="shared" ca="1" si="30"/>
        <v>#N/A</v>
      </c>
      <c r="C1438" s="1">
        <v>1438</v>
      </c>
      <c r="D1438" s="1" t="s">
        <v>2846</v>
      </c>
      <c r="E1438" s="1" t="s">
        <v>2847</v>
      </c>
    </row>
    <row r="1439" spans="1:5" ht="25">
      <c r="A1439" s="2">
        <f ca="1">IF(COUNTIF($AA$1:$BXX$24,1439) = 0,RAND(),RAND()-1)</f>
        <v>0.63821515392193573</v>
      </c>
      <c r="B1439" s="2" t="e">
        <f t="shared" ca="1" si="30"/>
        <v>#N/A</v>
      </c>
      <c r="C1439" s="1">
        <v>1439</v>
      </c>
      <c r="D1439" s="1" t="s">
        <v>2848</v>
      </c>
      <c r="E1439" s="1" t="s">
        <v>2849</v>
      </c>
    </row>
    <row r="1440" spans="1:5" ht="25">
      <c r="A1440" s="2">
        <f ca="1">IF(COUNTIF($AA$1:$BXX$24,1440) = 0,RAND(),RAND()-1)</f>
        <v>0.86628015276581771</v>
      </c>
      <c r="B1440" s="2" t="e">
        <f t="shared" ca="1" si="30"/>
        <v>#N/A</v>
      </c>
      <c r="C1440" s="1">
        <v>1440</v>
      </c>
      <c r="D1440" s="1" t="s">
        <v>2850</v>
      </c>
      <c r="E1440" s="1" t="s">
        <v>2851</v>
      </c>
    </row>
    <row r="1441" spans="1:5" ht="25">
      <c r="A1441" s="2">
        <f ca="1">IF(COUNTIF($AA$1:$BXX$24,1441) = 0,RAND(),RAND()-1)</f>
        <v>0.21787125053200385</v>
      </c>
      <c r="B1441" s="2" t="e">
        <f t="shared" ca="1" si="30"/>
        <v>#N/A</v>
      </c>
      <c r="C1441" s="1">
        <v>1441</v>
      </c>
      <c r="D1441" s="1" t="s">
        <v>2852</v>
      </c>
      <c r="E1441" s="1" t="s">
        <v>2853</v>
      </c>
    </row>
    <row r="1442" spans="1:5" ht="25">
      <c r="A1442" s="2">
        <f ca="1">IF(COUNTIF($AA$1:$BXX$24,1442) = 0,RAND(),RAND()-1)</f>
        <v>0.65585522745953495</v>
      </c>
      <c r="B1442" s="2" t="e">
        <f t="shared" ca="1" si="30"/>
        <v>#N/A</v>
      </c>
      <c r="C1442" s="1">
        <v>1442</v>
      </c>
      <c r="D1442" s="1" t="s">
        <v>2854</v>
      </c>
      <c r="E1442" s="1" t="s">
        <v>2855</v>
      </c>
    </row>
    <row r="1443" spans="1:5" ht="25">
      <c r="A1443" s="2">
        <f ca="1">IF(COUNTIF($AA$1:$BXX$24,1443) = 0,RAND(),RAND()-1)</f>
        <v>0.7210268817972656</v>
      </c>
      <c r="B1443" s="2" t="e">
        <f t="shared" ca="1" si="30"/>
        <v>#N/A</v>
      </c>
      <c r="C1443" s="1">
        <v>1443</v>
      </c>
      <c r="D1443" s="1" t="s">
        <v>2856</v>
      </c>
      <c r="E1443" s="1" t="s">
        <v>2857</v>
      </c>
    </row>
    <row r="1444" spans="1:5" ht="25">
      <c r="A1444" s="2">
        <f ca="1">IF(COUNTIF($AA$1:$BXX$24,1444) = 0,RAND(),RAND()-1)</f>
        <v>0.52164475326150139</v>
      </c>
      <c r="B1444" s="2" t="e">
        <f t="shared" ca="1" si="30"/>
        <v>#N/A</v>
      </c>
      <c r="C1444" s="1">
        <v>1444</v>
      </c>
      <c r="D1444" s="1" t="s">
        <v>2858</v>
      </c>
      <c r="E1444" s="1" t="s">
        <v>2859</v>
      </c>
    </row>
    <row r="1445" spans="1:5" ht="25">
      <c r="A1445" s="2">
        <f ca="1">IF(COUNTIF($AA$1:$BXX$24,1445) = 0,RAND(),RAND()-1)</f>
        <v>0.69359353323279882</v>
      </c>
      <c r="B1445" s="2" t="e">
        <f t="shared" ca="1" si="30"/>
        <v>#N/A</v>
      </c>
      <c r="C1445" s="1">
        <v>1445</v>
      </c>
      <c r="D1445" s="1" t="s">
        <v>2860</v>
      </c>
      <c r="E1445" s="1" t="s">
        <v>2861</v>
      </c>
    </row>
    <row r="1446" spans="1:5" ht="25">
      <c r="A1446" s="2">
        <f ca="1">IF(COUNTIF($AA$1:$BXX$24,1446) = 0,RAND(),RAND()-1)</f>
        <v>0.72909598060244551</v>
      </c>
      <c r="B1446" s="2" t="e">
        <f t="shared" ca="1" si="30"/>
        <v>#N/A</v>
      </c>
      <c r="C1446" s="1">
        <v>1446</v>
      </c>
      <c r="D1446" s="1" t="s">
        <v>2862</v>
      </c>
      <c r="E1446" s="1" t="s">
        <v>2863</v>
      </c>
    </row>
    <row r="1447" spans="1:5" ht="25">
      <c r="A1447" s="2">
        <f ca="1">IF(COUNTIF($AA$1:$BXX$24,1447) = 0,RAND(),RAND()-1)</f>
        <v>5.3200901954855495E-2</v>
      </c>
      <c r="B1447" s="2" t="e">
        <f t="shared" ca="1" si="30"/>
        <v>#N/A</v>
      </c>
      <c r="C1447" s="1">
        <v>1447</v>
      </c>
      <c r="D1447" s="1" t="s">
        <v>2864</v>
      </c>
      <c r="E1447" s="1" t="s">
        <v>2865</v>
      </c>
    </row>
    <row r="1448" spans="1:5" ht="25">
      <c r="A1448" s="2">
        <f ca="1">IF(COUNTIF($AA$1:$BXX$24,1448) = 0,RAND(),RAND()-1)</f>
        <v>0.78204759383186706</v>
      </c>
      <c r="B1448" s="2" t="e">
        <f t="shared" ca="1" si="30"/>
        <v>#N/A</v>
      </c>
      <c r="C1448" s="1">
        <v>1448</v>
      </c>
      <c r="D1448" s="1" t="s">
        <v>2866</v>
      </c>
      <c r="E1448" s="1" t="s">
        <v>2867</v>
      </c>
    </row>
    <row r="1449" spans="1:5" ht="25">
      <c r="A1449" s="2">
        <f ca="1">IF(COUNTIF($AA$1:$BXX$24,1449) = 0,RAND(),RAND()-1)</f>
        <v>0.67290106944081096</v>
      </c>
      <c r="B1449" s="2" t="e">
        <f t="shared" ca="1" si="30"/>
        <v>#N/A</v>
      </c>
      <c r="C1449" s="1">
        <v>1449</v>
      </c>
      <c r="D1449" s="1" t="s">
        <v>2868</v>
      </c>
      <c r="E1449" s="1" t="s">
        <v>2869</v>
      </c>
    </row>
    <row r="1450" spans="1:5" ht="25">
      <c r="A1450" s="2">
        <f ca="1">IF(COUNTIF($AA$1:$BXX$24,1450) = 0,RAND(),RAND()-1)</f>
        <v>0.75954721744218734</v>
      </c>
      <c r="B1450" s="2" t="e">
        <f t="shared" ca="1" si="30"/>
        <v>#N/A</v>
      </c>
      <c r="C1450" s="1">
        <v>1450</v>
      </c>
      <c r="D1450" s="1" t="s">
        <v>2870</v>
      </c>
      <c r="E1450" s="1" t="s">
        <v>2871</v>
      </c>
    </row>
    <row r="1451" spans="1:5" ht="25">
      <c r="A1451" s="2">
        <f ca="1">IF(COUNTIF($AA$1:$BXX$24,1451) = 0,RAND(),RAND()-1)</f>
        <v>0.77858730342571247</v>
      </c>
      <c r="B1451" s="2" t="e">
        <f t="shared" ca="1" si="30"/>
        <v>#N/A</v>
      </c>
      <c r="C1451" s="1">
        <v>1451</v>
      </c>
      <c r="D1451" s="1" t="s">
        <v>2872</v>
      </c>
      <c r="E1451" s="1" t="s">
        <v>1487</v>
      </c>
    </row>
    <row r="1452" spans="1:5" ht="25">
      <c r="A1452" s="2">
        <f ca="1">IF(COUNTIF($AA$1:$BXX$24,1452) = 0,RAND(),RAND()-1)</f>
        <v>0.91926582212916708</v>
      </c>
      <c r="B1452" s="2" t="e">
        <f t="shared" ca="1" si="30"/>
        <v>#N/A</v>
      </c>
      <c r="C1452" s="1">
        <v>1452</v>
      </c>
      <c r="D1452" s="1" t="s">
        <v>2873</v>
      </c>
      <c r="E1452" s="1" t="s">
        <v>2874</v>
      </c>
    </row>
    <row r="1453" spans="1:5" ht="25">
      <c r="A1453" s="2">
        <f ca="1">IF(COUNTIF($AA$1:$BXX$24,1453) = 0,RAND(),RAND()-1)</f>
        <v>0.63019596029957237</v>
      </c>
      <c r="B1453" s="2" t="e">
        <f t="shared" ca="1" si="30"/>
        <v>#N/A</v>
      </c>
      <c r="C1453" s="1">
        <v>1453</v>
      </c>
      <c r="D1453" s="1" t="s">
        <v>2875</v>
      </c>
      <c r="E1453" s="1" t="s">
        <v>2876</v>
      </c>
    </row>
    <row r="1454" spans="1:5" ht="25">
      <c r="A1454" s="2">
        <f ca="1">IF(COUNTIF($AA$1:$BXX$24,1454) = 0,RAND(),RAND()-1)</f>
        <v>7.5643135321035393E-2</v>
      </c>
      <c r="B1454" s="2" t="e">
        <f t="shared" ca="1" si="30"/>
        <v>#N/A</v>
      </c>
      <c r="C1454" s="1">
        <v>1454</v>
      </c>
      <c r="D1454" s="1" t="s">
        <v>2877</v>
      </c>
      <c r="E1454" s="1" t="s">
        <v>2878</v>
      </c>
    </row>
    <row r="1455" spans="1:5" ht="25">
      <c r="A1455" s="2">
        <f ca="1">IF(COUNTIF($AA$1:$BXX$24,1455) = 0,RAND(),RAND()-1)</f>
        <v>0.26593579980340476</v>
      </c>
      <c r="B1455" s="2" t="e">
        <f t="shared" ca="1" si="30"/>
        <v>#N/A</v>
      </c>
      <c r="C1455" s="1">
        <v>1455</v>
      </c>
      <c r="D1455" s="1" t="s">
        <v>2879</v>
      </c>
      <c r="E1455" s="1" t="s">
        <v>2880</v>
      </c>
    </row>
    <row r="1456" spans="1:5" ht="25">
      <c r="A1456" s="2">
        <f ca="1">IF(COUNTIF($AA$1:$BXX$24,1456) = 0,RAND(),RAND()-1)</f>
        <v>0.32946703639261765</v>
      </c>
      <c r="B1456" s="2" t="e">
        <f t="shared" ca="1" si="30"/>
        <v>#N/A</v>
      </c>
      <c r="C1456" s="1">
        <v>1456</v>
      </c>
      <c r="D1456" s="1" t="s">
        <v>2881</v>
      </c>
      <c r="E1456" s="1" t="s">
        <v>2882</v>
      </c>
    </row>
    <row r="1457" spans="1:5" ht="25">
      <c r="A1457" s="2">
        <f ca="1">IF(COUNTIF($AA$1:$BXX$24,1457) = 0,RAND(),RAND()-1)</f>
        <v>0.29780171804065747</v>
      </c>
      <c r="B1457" s="2" t="e">
        <f t="shared" ca="1" si="30"/>
        <v>#N/A</v>
      </c>
      <c r="C1457" s="1">
        <v>1457</v>
      </c>
      <c r="D1457" s="1" t="s">
        <v>2883</v>
      </c>
      <c r="E1457" s="1" t="s">
        <v>2884</v>
      </c>
    </row>
    <row r="1458" spans="1:5" ht="25">
      <c r="A1458" s="2">
        <f ca="1">IF(COUNTIF($AA$1:$BXX$24,1458) = 0,RAND(),RAND()-1)</f>
        <v>0.45552387956191354</v>
      </c>
      <c r="B1458" s="2" t="e">
        <f t="shared" ca="1" si="30"/>
        <v>#N/A</v>
      </c>
      <c r="C1458" s="1">
        <v>1458</v>
      </c>
      <c r="D1458" s="1" t="s">
        <v>2885</v>
      </c>
      <c r="E1458" s="1" t="s">
        <v>2886</v>
      </c>
    </row>
    <row r="1459" spans="1:5" ht="25">
      <c r="A1459" s="2">
        <f ca="1">IF(COUNTIF($AA$1:$BXX$24,1459) = 0,RAND(),RAND()-1)</f>
        <v>0.47059291535181735</v>
      </c>
      <c r="B1459" s="2" t="e">
        <f t="shared" ca="1" si="30"/>
        <v>#N/A</v>
      </c>
      <c r="C1459" s="1">
        <v>1459</v>
      </c>
      <c r="D1459" s="1" t="s">
        <v>2887</v>
      </c>
      <c r="E1459" s="1" t="s">
        <v>2888</v>
      </c>
    </row>
    <row r="1460" spans="1:5" ht="25">
      <c r="A1460" s="2">
        <f ca="1">IF(COUNTIF($AA$1:$BXX$24,1460) = 0,RAND(),RAND()-1)</f>
        <v>0.45782476655720117</v>
      </c>
      <c r="B1460" s="2" t="e">
        <f t="shared" ca="1" si="30"/>
        <v>#N/A</v>
      </c>
      <c r="C1460" s="1">
        <v>1460</v>
      </c>
      <c r="D1460" s="1" t="s">
        <v>2889</v>
      </c>
      <c r="E1460" s="1" t="s">
        <v>2890</v>
      </c>
    </row>
    <row r="1461" spans="1:5" ht="25">
      <c r="A1461" s="2">
        <f ca="1">IF(COUNTIF($AA$1:$BXX$24,1461) = 0,RAND(),RAND()-1)</f>
        <v>0.16937225505244802</v>
      </c>
      <c r="B1461" s="2" t="e">
        <f t="shared" ca="1" si="30"/>
        <v>#N/A</v>
      </c>
      <c r="C1461" s="1">
        <v>1461</v>
      </c>
      <c r="D1461" s="1" t="s">
        <v>2891</v>
      </c>
      <c r="E1461" s="1" t="s">
        <v>2892</v>
      </c>
    </row>
    <row r="1462" spans="1:5" ht="25">
      <c r="A1462" s="2">
        <f ca="1">IF(COUNTIF($AA$1:$BXX$24,1462) = 0,RAND(),RAND()-1)</f>
        <v>0.9202353651345262</v>
      </c>
      <c r="B1462" s="2" t="e">
        <f t="shared" ca="1" si="30"/>
        <v>#N/A</v>
      </c>
      <c r="C1462" s="1">
        <v>1462</v>
      </c>
      <c r="D1462" s="1" t="s">
        <v>2893</v>
      </c>
      <c r="E1462" s="1" t="s">
        <v>2894</v>
      </c>
    </row>
    <row r="1463" spans="1:5" ht="25">
      <c r="A1463" s="2">
        <f ca="1">IF(COUNTIF($AA$1:$BXX$24,1463) = 0,RAND(),RAND()-1)</f>
        <v>0.26498557424983238</v>
      </c>
      <c r="B1463" s="2" t="e">
        <f t="shared" ca="1" si="30"/>
        <v>#N/A</v>
      </c>
      <c r="C1463" s="1">
        <v>1463</v>
      </c>
      <c r="D1463" s="1" t="s">
        <v>2895</v>
      </c>
      <c r="E1463" s="1" t="s">
        <v>2896</v>
      </c>
    </row>
    <row r="1464" spans="1:5" ht="25">
      <c r="A1464" s="2">
        <f ca="1">IF(COUNTIF($AA$1:$BXX$24,1464) = 0,RAND(),RAND()-1)</f>
        <v>3.7991087817088043E-2</v>
      </c>
      <c r="B1464" s="2" t="e">
        <f t="shared" ca="1" si="30"/>
        <v>#N/A</v>
      </c>
      <c r="C1464" s="1">
        <v>1464</v>
      </c>
      <c r="D1464" s="1" t="s">
        <v>2897</v>
      </c>
      <c r="E1464" s="1" t="s">
        <v>2898</v>
      </c>
    </row>
    <row r="1465" spans="1:5" ht="25">
      <c r="A1465" s="2">
        <f ca="1">IF(COUNTIF($AA$1:$BXX$24,1465) = 0,RAND(),RAND()-1)</f>
        <v>0.17103151406650574</v>
      </c>
      <c r="B1465" s="2" t="e">
        <f t="shared" ca="1" si="30"/>
        <v>#N/A</v>
      </c>
      <c r="C1465" s="1">
        <v>1465</v>
      </c>
      <c r="D1465" s="1" t="s">
        <v>2899</v>
      </c>
      <c r="E1465" s="1" t="s">
        <v>2900</v>
      </c>
    </row>
    <row r="1466" spans="1:5" ht="25">
      <c r="A1466" s="2">
        <f ca="1">IF(COUNTIF($AA$1:$BXX$24,1466) = 0,RAND(),RAND()-1)</f>
        <v>0.29725949598583767</v>
      </c>
      <c r="B1466" s="2" t="e">
        <f t="shared" ca="1" si="30"/>
        <v>#N/A</v>
      </c>
      <c r="C1466" s="1">
        <v>1466</v>
      </c>
      <c r="D1466" s="1" t="s">
        <v>2901</v>
      </c>
      <c r="E1466" s="1" t="s">
        <v>2902</v>
      </c>
    </row>
    <row r="1467" spans="1:5" ht="25">
      <c r="A1467" s="2">
        <f ca="1">IF(COUNTIF($AA$1:$BXX$24,1467) = 0,RAND(),RAND()-1)</f>
        <v>0.72936814250556326</v>
      </c>
      <c r="B1467" s="2" t="e">
        <f t="shared" ca="1" si="30"/>
        <v>#N/A</v>
      </c>
      <c r="C1467" s="1">
        <v>1467</v>
      </c>
      <c r="D1467" s="1" t="s">
        <v>2903</v>
      </c>
      <c r="E1467" s="1" t="s">
        <v>2904</v>
      </c>
    </row>
    <row r="1468" spans="1:5" ht="25">
      <c r="A1468" s="2">
        <f ca="1">IF(COUNTIF($AA$1:$BXX$24,1468) = 0,RAND(),RAND()-1)</f>
        <v>0.86902674182730355</v>
      </c>
      <c r="B1468" s="2" t="e">
        <f t="shared" ca="1" si="30"/>
        <v>#N/A</v>
      </c>
      <c r="C1468" s="1">
        <v>1468</v>
      </c>
      <c r="D1468" s="1" t="s">
        <v>2905</v>
      </c>
      <c r="E1468" s="1" t="s">
        <v>2906</v>
      </c>
    </row>
    <row r="1469" spans="1:5" ht="25">
      <c r="A1469" s="2">
        <f ca="1">IF(COUNTIF($AA$1:$BXX$24,1469) = 0,RAND(),RAND()-1)</f>
        <v>0.42537467336035506</v>
      </c>
      <c r="B1469" s="2" t="e">
        <f t="shared" ca="1" si="30"/>
        <v>#N/A</v>
      </c>
      <c r="C1469" s="1">
        <v>1469</v>
      </c>
      <c r="D1469" s="1" t="s">
        <v>2907</v>
      </c>
      <c r="E1469" s="1" t="s">
        <v>2908</v>
      </c>
    </row>
    <row r="1470" spans="1:5" ht="25">
      <c r="A1470" s="2">
        <f ca="1">IF(COUNTIF($AA$1:$BXX$24,1470) = 0,RAND(),RAND()-1)</f>
        <v>0.98256670819823477</v>
      </c>
      <c r="B1470" s="2" t="e">
        <f t="shared" ca="1" si="30"/>
        <v>#N/A</v>
      </c>
      <c r="C1470" s="1">
        <v>1470</v>
      </c>
      <c r="D1470" s="1" t="s">
        <v>2909</v>
      </c>
      <c r="E1470" s="1" t="s">
        <v>2910</v>
      </c>
    </row>
    <row r="1471" spans="1:5" ht="25">
      <c r="A1471" s="2">
        <f ca="1">IF(COUNTIF($AA$1:$BXX$24,1471) = 0,RAND(),RAND()-1)</f>
        <v>0.34214899042511349</v>
      </c>
      <c r="B1471" s="2" t="e">
        <f t="shared" ca="1" si="30"/>
        <v>#N/A</v>
      </c>
      <c r="C1471" s="1">
        <v>1471</v>
      </c>
      <c r="D1471" s="1" t="s">
        <v>2911</v>
      </c>
      <c r="E1471" s="1" t="s">
        <v>2912</v>
      </c>
    </row>
    <row r="1472" spans="1:5" ht="25">
      <c r="A1472" s="2">
        <f ca="1">IF(COUNTIF($AA$1:$BXX$24,1472) = 0,RAND(),RAND()-1)</f>
        <v>0.77902925872519757</v>
      </c>
      <c r="B1472" s="2" t="e">
        <f t="shared" ca="1" si="30"/>
        <v>#N/A</v>
      </c>
      <c r="C1472" s="1">
        <v>1472</v>
      </c>
      <c r="D1472" s="1" t="s">
        <v>2913</v>
      </c>
      <c r="E1472" s="1" t="s">
        <v>2914</v>
      </c>
    </row>
    <row r="1473" spans="1:5" ht="25">
      <c r="A1473" s="2">
        <f ca="1">IF(COUNTIF($AA$1:$BXX$24,1473) = 0,RAND(),RAND()-1)</f>
        <v>5.9138828448069725E-2</v>
      </c>
      <c r="B1473" s="2" t="e">
        <f t="shared" ref="B1473:B1536" ca="1" si="31">RANK(A1473,OFFSET($A$1,$G$1-1,0,$G$2-$G$1+1))</f>
        <v>#N/A</v>
      </c>
      <c r="C1473" s="1">
        <v>1473</v>
      </c>
      <c r="D1473" s="1" t="s">
        <v>2915</v>
      </c>
      <c r="E1473" s="1" t="s">
        <v>2916</v>
      </c>
    </row>
    <row r="1474" spans="1:5" ht="25">
      <c r="A1474" s="2">
        <f ca="1">IF(COUNTIF($AA$1:$BXX$24,1474) = 0,RAND(),RAND()-1)</f>
        <v>0.82154766762104481</v>
      </c>
      <c r="B1474" s="2" t="e">
        <f t="shared" ca="1" si="31"/>
        <v>#N/A</v>
      </c>
      <c r="C1474" s="1">
        <v>1474</v>
      </c>
      <c r="D1474" s="1" t="s">
        <v>2917</v>
      </c>
      <c r="E1474" s="1" t="s">
        <v>2918</v>
      </c>
    </row>
    <row r="1475" spans="1:5" ht="25">
      <c r="A1475" s="2">
        <f ca="1">IF(COUNTIF($AA$1:$BXX$24,1475) = 0,RAND(),RAND()-1)</f>
        <v>4.7170774725966091E-2</v>
      </c>
      <c r="B1475" s="2" t="e">
        <f t="shared" ca="1" si="31"/>
        <v>#N/A</v>
      </c>
      <c r="C1475" s="1">
        <v>1475</v>
      </c>
      <c r="D1475" s="1" t="s">
        <v>2919</v>
      </c>
      <c r="E1475" s="1" t="s">
        <v>2920</v>
      </c>
    </row>
    <row r="1476" spans="1:5" ht="25">
      <c r="A1476" s="2">
        <f ca="1">IF(COUNTIF($AA$1:$BXX$24,1476) = 0,RAND(),RAND()-1)</f>
        <v>0.64417481068954174</v>
      </c>
      <c r="B1476" s="2" t="e">
        <f t="shared" ca="1" si="31"/>
        <v>#N/A</v>
      </c>
      <c r="C1476" s="1">
        <v>1476</v>
      </c>
      <c r="D1476" s="1" t="s">
        <v>2921</v>
      </c>
      <c r="E1476" s="1" t="s">
        <v>2922</v>
      </c>
    </row>
    <row r="1477" spans="1:5" ht="25">
      <c r="A1477" s="2">
        <f ca="1">IF(COUNTIF($AA$1:$BXX$24,1477) = 0,RAND(),RAND()-1)</f>
        <v>0.84608917746511902</v>
      </c>
      <c r="B1477" s="2" t="e">
        <f t="shared" ca="1" si="31"/>
        <v>#N/A</v>
      </c>
      <c r="C1477" s="1">
        <v>1477</v>
      </c>
      <c r="D1477" s="1" t="s">
        <v>2923</v>
      </c>
      <c r="E1477" s="1" t="s">
        <v>2924</v>
      </c>
    </row>
    <row r="1478" spans="1:5" ht="25">
      <c r="A1478" s="2">
        <f ca="1">IF(COUNTIF($AA$1:$BXX$24,1478) = 0,RAND(),RAND()-1)</f>
        <v>0.38244954522825303</v>
      </c>
      <c r="B1478" s="2" t="e">
        <f t="shared" ca="1" si="31"/>
        <v>#N/A</v>
      </c>
      <c r="C1478" s="1">
        <v>1478</v>
      </c>
      <c r="D1478" s="1" t="s">
        <v>2925</v>
      </c>
      <c r="E1478" s="1" t="s">
        <v>2926</v>
      </c>
    </row>
    <row r="1479" spans="1:5" ht="25">
      <c r="A1479" s="2">
        <f ca="1">IF(COUNTIF($AA$1:$BXX$24,1479) = 0,RAND(),RAND()-1)</f>
        <v>0.91869875213594077</v>
      </c>
      <c r="B1479" s="2" t="e">
        <f t="shared" ca="1" si="31"/>
        <v>#N/A</v>
      </c>
      <c r="C1479" s="1">
        <v>1479</v>
      </c>
      <c r="D1479" s="1" t="s">
        <v>2927</v>
      </c>
      <c r="E1479" s="1" t="s">
        <v>2928</v>
      </c>
    </row>
    <row r="1480" spans="1:5" ht="25">
      <c r="A1480" s="2">
        <f ca="1">IF(COUNTIF($AA$1:$BXX$24,1480) = 0,RAND(),RAND()-1)</f>
        <v>0.44117445627021201</v>
      </c>
      <c r="B1480" s="2" t="e">
        <f t="shared" ca="1" si="31"/>
        <v>#N/A</v>
      </c>
      <c r="C1480" s="1">
        <v>1480</v>
      </c>
      <c r="D1480" s="1" t="s">
        <v>2929</v>
      </c>
      <c r="E1480" s="1" t="s">
        <v>2930</v>
      </c>
    </row>
    <row r="1481" spans="1:5" ht="25">
      <c r="A1481" s="2">
        <f ca="1">IF(COUNTIF($AA$1:$BXX$24,1481) = 0,RAND(),RAND()-1)</f>
        <v>0.72038022817904435</v>
      </c>
      <c r="B1481" s="2" t="e">
        <f t="shared" ca="1" si="31"/>
        <v>#N/A</v>
      </c>
      <c r="C1481" s="1">
        <v>1481</v>
      </c>
      <c r="D1481" s="1" t="s">
        <v>2931</v>
      </c>
      <c r="E1481" s="1" t="s">
        <v>2932</v>
      </c>
    </row>
    <row r="1482" spans="1:5" ht="25">
      <c r="A1482" s="2">
        <f ca="1">IF(COUNTIF($AA$1:$BXX$24,1482) = 0,RAND(),RAND()-1)</f>
        <v>0.34526692218328126</v>
      </c>
      <c r="B1482" s="2" t="e">
        <f t="shared" ca="1" si="31"/>
        <v>#N/A</v>
      </c>
      <c r="C1482" s="1">
        <v>1482</v>
      </c>
      <c r="D1482" s="1" t="s">
        <v>2933</v>
      </c>
      <c r="E1482" s="1" t="s">
        <v>2934</v>
      </c>
    </row>
    <row r="1483" spans="1:5" ht="25">
      <c r="A1483" s="2">
        <f ca="1">IF(COUNTIF($AA$1:$BXX$24,1483) = 0,RAND(),RAND()-1)</f>
        <v>0.25041051940497883</v>
      </c>
      <c r="B1483" s="2" t="e">
        <f t="shared" ca="1" si="31"/>
        <v>#N/A</v>
      </c>
      <c r="C1483" s="1">
        <v>1483</v>
      </c>
      <c r="D1483" s="1" t="s">
        <v>2935</v>
      </c>
      <c r="E1483" s="1" t="s">
        <v>2936</v>
      </c>
    </row>
    <row r="1484" spans="1:5" ht="25">
      <c r="A1484" s="2">
        <f ca="1">IF(COUNTIF($AA$1:$BXX$24,1484) = 0,RAND(),RAND()-1)</f>
        <v>0.39919436753576476</v>
      </c>
      <c r="B1484" s="2" t="e">
        <f t="shared" ca="1" si="31"/>
        <v>#N/A</v>
      </c>
      <c r="C1484" s="1">
        <v>1484</v>
      </c>
      <c r="D1484" s="1" t="s">
        <v>2937</v>
      </c>
      <c r="E1484" s="1" t="s">
        <v>2938</v>
      </c>
    </row>
    <row r="1485" spans="1:5" ht="25">
      <c r="A1485" s="2">
        <f ca="1">IF(COUNTIF($AA$1:$BXX$24,1485) = 0,RAND(),RAND()-1)</f>
        <v>0.27492896274905554</v>
      </c>
      <c r="B1485" s="2" t="e">
        <f t="shared" ca="1" si="31"/>
        <v>#N/A</v>
      </c>
      <c r="C1485" s="1">
        <v>1485</v>
      </c>
      <c r="D1485" s="1" t="s">
        <v>2939</v>
      </c>
      <c r="E1485" s="1" t="s">
        <v>2940</v>
      </c>
    </row>
    <row r="1486" spans="1:5" ht="25">
      <c r="A1486" s="2">
        <f ca="1">IF(COUNTIF($AA$1:$BXX$24,1486) = 0,RAND(),RAND()-1)</f>
        <v>0.38886862957381829</v>
      </c>
      <c r="B1486" s="2" t="e">
        <f t="shared" ca="1" si="31"/>
        <v>#N/A</v>
      </c>
      <c r="C1486" s="1">
        <v>1486</v>
      </c>
      <c r="D1486" s="1" t="s">
        <v>2941</v>
      </c>
      <c r="E1486" s="1" t="s">
        <v>2942</v>
      </c>
    </row>
    <row r="1487" spans="1:5" ht="25">
      <c r="A1487" s="2">
        <f ca="1">IF(COUNTIF($AA$1:$BXX$24,1487) = 0,RAND(),RAND()-1)</f>
        <v>0.57475529537674774</v>
      </c>
      <c r="B1487" s="2" t="e">
        <f t="shared" ca="1" si="31"/>
        <v>#N/A</v>
      </c>
      <c r="C1487" s="1">
        <v>1487</v>
      </c>
      <c r="D1487" s="1" t="s">
        <v>2943</v>
      </c>
      <c r="E1487" s="1" t="s">
        <v>2944</v>
      </c>
    </row>
    <row r="1488" spans="1:5" ht="25">
      <c r="A1488" s="2">
        <f ca="1">IF(COUNTIF($AA$1:$BXX$24,1488) = 0,RAND(),RAND()-1)</f>
        <v>0.41307021255050058</v>
      </c>
      <c r="B1488" s="2" t="e">
        <f t="shared" ca="1" si="31"/>
        <v>#N/A</v>
      </c>
      <c r="C1488" s="1">
        <v>1488</v>
      </c>
      <c r="D1488" s="1" t="s">
        <v>2945</v>
      </c>
      <c r="E1488" s="1" t="s">
        <v>2946</v>
      </c>
    </row>
    <row r="1489" spans="1:5" ht="25">
      <c r="A1489" s="2">
        <f ca="1">IF(COUNTIF($AA$1:$BXX$24,1489) = 0,RAND(),RAND()-1)</f>
        <v>0.25603194278238306</v>
      </c>
      <c r="B1489" s="2" t="e">
        <f t="shared" ca="1" si="31"/>
        <v>#N/A</v>
      </c>
      <c r="C1489" s="1">
        <v>1489</v>
      </c>
      <c r="D1489" s="1" t="s">
        <v>2947</v>
      </c>
      <c r="E1489" s="1" t="s">
        <v>2019</v>
      </c>
    </row>
    <row r="1490" spans="1:5" ht="25">
      <c r="A1490" s="2">
        <f ca="1">IF(COUNTIF($AA$1:$BXX$24,1490) = 0,RAND(),RAND()-1)</f>
        <v>0.92140349779947717</v>
      </c>
      <c r="B1490" s="2" t="e">
        <f t="shared" ca="1" si="31"/>
        <v>#N/A</v>
      </c>
      <c r="C1490" s="1">
        <v>1490</v>
      </c>
      <c r="D1490" s="1" t="s">
        <v>2948</v>
      </c>
      <c r="E1490" s="1" t="s">
        <v>2949</v>
      </c>
    </row>
    <row r="1491" spans="1:5" ht="25">
      <c r="A1491" s="2">
        <f ca="1">IF(COUNTIF($AA$1:$BXX$24,1491) = 0,RAND(),RAND()-1)</f>
        <v>0.42439211755620654</v>
      </c>
      <c r="B1491" s="2" t="e">
        <f t="shared" ca="1" si="31"/>
        <v>#N/A</v>
      </c>
      <c r="C1491" s="1">
        <v>1491</v>
      </c>
      <c r="D1491" s="1" t="s">
        <v>2950</v>
      </c>
      <c r="E1491" s="1" t="s">
        <v>2951</v>
      </c>
    </row>
    <row r="1492" spans="1:5" ht="25">
      <c r="A1492" s="2">
        <f ca="1">IF(COUNTIF($AA$1:$BXX$24,1492) = 0,RAND(),RAND()-1)</f>
        <v>0.63805438892254396</v>
      </c>
      <c r="B1492" s="2" t="e">
        <f t="shared" ca="1" si="31"/>
        <v>#N/A</v>
      </c>
      <c r="C1492" s="1">
        <v>1492</v>
      </c>
      <c r="D1492" s="1" t="s">
        <v>2952</v>
      </c>
      <c r="E1492" s="1" t="s">
        <v>2953</v>
      </c>
    </row>
    <row r="1493" spans="1:5" ht="25">
      <c r="A1493" s="2">
        <f ca="1">IF(COUNTIF($AA$1:$BXX$24,1493) = 0,RAND(),RAND()-1)</f>
        <v>0.68362014478467825</v>
      </c>
      <c r="B1493" s="2" t="e">
        <f t="shared" ca="1" si="31"/>
        <v>#N/A</v>
      </c>
      <c r="C1493" s="1">
        <v>1493</v>
      </c>
      <c r="D1493" s="1" t="s">
        <v>2954</v>
      </c>
      <c r="E1493" s="1" t="s">
        <v>2955</v>
      </c>
    </row>
    <row r="1494" spans="1:5" ht="25">
      <c r="A1494" s="2">
        <f ca="1">IF(COUNTIF($AA$1:$BXX$24,1494) = 0,RAND(),RAND()-1)</f>
        <v>0.30031341436700199</v>
      </c>
      <c r="B1494" s="2" t="e">
        <f t="shared" ca="1" si="31"/>
        <v>#N/A</v>
      </c>
      <c r="C1494" s="1">
        <v>1494</v>
      </c>
      <c r="D1494" s="1" t="s">
        <v>2956</v>
      </c>
      <c r="E1494" s="1" t="s">
        <v>1414</v>
      </c>
    </row>
    <row r="1495" spans="1:5" ht="25">
      <c r="A1495" s="2">
        <f ca="1">IF(COUNTIF($AA$1:$BXX$24,1495) = 0,RAND(),RAND()-1)</f>
        <v>0.68129811027317155</v>
      </c>
      <c r="B1495" s="2" t="e">
        <f t="shared" ca="1" si="31"/>
        <v>#N/A</v>
      </c>
      <c r="C1495" s="1">
        <v>1495</v>
      </c>
      <c r="D1495" s="1" t="s">
        <v>2957</v>
      </c>
      <c r="E1495" s="1" t="s">
        <v>2958</v>
      </c>
    </row>
    <row r="1496" spans="1:5" ht="25">
      <c r="A1496" s="2">
        <f ca="1">IF(COUNTIF($AA$1:$BXX$24,1496) = 0,RAND(),RAND()-1)</f>
        <v>0.21765561946957934</v>
      </c>
      <c r="B1496" s="2" t="e">
        <f t="shared" ca="1" si="31"/>
        <v>#N/A</v>
      </c>
      <c r="C1496" s="1">
        <v>1496</v>
      </c>
      <c r="D1496" s="1" t="s">
        <v>2959</v>
      </c>
      <c r="E1496" s="1" t="s">
        <v>2960</v>
      </c>
    </row>
    <row r="1497" spans="1:5" ht="25">
      <c r="A1497" s="2">
        <f ca="1">IF(COUNTIF($AA$1:$BXX$24,1497) = 0,RAND(),RAND()-1)</f>
        <v>0.27540435051915246</v>
      </c>
      <c r="B1497" s="2" t="e">
        <f t="shared" ca="1" si="31"/>
        <v>#N/A</v>
      </c>
      <c r="C1497" s="1">
        <v>1497</v>
      </c>
      <c r="D1497" s="1" t="s">
        <v>2961</v>
      </c>
      <c r="E1497" s="1" t="s">
        <v>971</v>
      </c>
    </row>
    <row r="1498" spans="1:5" ht="25">
      <c r="A1498" s="2">
        <f ca="1">IF(COUNTIF($AA$1:$BXX$24,1498) = 0,RAND(),RAND()-1)</f>
        <v>0.59913357767059372</v>
      </c>
      <c r="B1498" s="2" t="e">
        <f t="shared" ca="1" si="31"/>
        <v>#N/A</v>
      </c>
      <c r="C1498" s="1">
        <v>1498</v>
      </c>
      <c r="D1498" s="1" t="s">
        <v>2962</v>
      </c>
      <c r="E1498" s="1" t="s">
        <v>2963</v>
      </c>
    </row>
    <row r="1499" spans="1:5" ht="25">
      <c r="A1499" s="2">
        <f ca="1">IF(COUNTIF($AA$1:$BXX$24,1499) = 0,RAND(),RAND()-1)</f>
        <v>7.015283667370309E-2</v>
      </c>
      <c r="B1499" s="2" t="e">
        <f t="shared" ca="1" si="31"/>
        <v>#N/A</v>
      </c>
      <c r="C1499" s="1">
        <v>1499</v>
      </c>
      <c r="D1499" s="1" t="s">
        <v>2964</v>
      </c>
      <c r="E1499" s="1" t="s">
        <v>2965</v>
      </c>
    </row>
    <row r="1500" spans="1:5" ht="25">
      <c r="A1500" s="2">
        <f ca="1">IF(COUNTIF($AA$1:$BXX$24,1500) = 0,RAND(),RAND()-1)</f>
        <v>0.67810232503308887</v>
      </c>
      <c r="B1500" s="2" t="e">
        <f t="shared" ca="1" si="31"/>
        <v>#N/A</v>
      </c>
      <c r="C1500" s="1">
        <v>1500</v>
      </c>
      <c r="D1500" s="1" t="s">
        <v>2966</v>
      </c>
      <c r="E1500" s="1" t="s">
        <v>2967</v>
      </c>
    </row>
    <row r="1501" spans="1:5" ht="25">
      <c r="A1501" s="2">
        <f ca="1">IF(COUNTIF($AA$1:$BXX$24,1501) = 0,RAND(),RAND()-1)</f>
        <v>0.1766042323157061</v>
      </c>
      <c r="B1501" s="2" t="e">
        <f t="shared" ca="1" si="31"/>
        <v>#N/A</v>
      </c>
      <c r="C1501" s="1">
        <v>1501</v>
      </c>
      <c r="D1501" s="1" t="s">
        <v>2968</v>
      </c>
      <c r="E1501" s="1" t="s">
        <v>2969</v>
      </c>
    </row>
    <row r="1502" spans="1:5" ht="25">
      <c r="A1502" s="2">
        <f ca="1">IF(COUNTIF($AA$1:$BXX$24,1502) = 0,RAND(),RAND()-1)</f>
        <v>0.26245366755592214</v>
      </c>
      <c r="B1502" s="2" t="e">
        <f t="shared" ca="1" si="31"/>
        <v>#N/A</v>
      </c>
      <c r="C1502" s="1">
        <v>1502</v>
      </c>
      <c r="D1502" s="1" t="s">
        <v>2970</v>
      </c>
      <c r="E1502" s="1" t="s">
        <v>1074</v>
      </c>
    </row>
    <row r="1503" spans="1:5" ht="25">
      <c r="A1503" s="2">
        <f ca="1">IF(COUNTIF($AA$1:$BXX$24,1503) = 0,RAND(),RAND()-1)</f>
        <v>0.23413248885562288</v>
      </c>
      <c r="B1503" s="2" t="e">
        <f t="shared" ca="1" si="31"/>
        <v>#N/A</v>
      </c>
      <c r="C1503" s="1">
        <v>1503</v>
      </c>
      <c r="D1503" s="1" t="s">
        <v>2971</v>
      </c>
      <c r="E1503" s="1" t="s">
        <v>2859</v>
      </c>
    </row>
    <row r="1504" spans="1:5" ht="25">
      <c r="A1504" s="2">
        <f ca="1">IF(COUNTIF($AA$1:$BXX$24,1504) = 0,RAND(),RAND()-1)</f>
        <v>0.95248699983841345</v>
      </c>
      <c r="B1504" s="2" t="e">
        <f t="shared" ca="1" si="31"/>
        <v>#N/A</v>
      </c>
      <c r="C1504" s="1">
        <v>1504</v>
      </c>
      <c r="D1504" s="1" t="s">
        <v>2972</v>
      </c>
      <c r="E1504" s="1" t="s">
        <v>2973</v>
      </c>
    </row>
    <row r="1505" spans="1:5" ht="25">
      <c r="A1505" s="2">
        <f ca="1">IF(COUNTIF($AA$1:$BXX$24,1505) = 0,RAND(),RAND()-1)</f>
        <v>0.71553045916189484</v>
      </c>
      <c r="B1505" s="2" t="e">
        <f t="shared" ca="1" si="31"/>
        <v>#N/A</v>
      </c>
      <c r="C1505" s="1">
        <v>1505</v>
      </c>
      <c r="D1505" s="1" t="s">
        <v>2974</v>
      </c>
      <c r="E1505" s="1" t="s">
        <v>2975</v>
      </c>
    </row>
    <row r="1506" spans="1:5" ht="25">
      <c r="A1506" s="2">
        <f ca="1">IF(COUNTIF($AA$1:$BXX$24,1506) = 0,RAND(),RAND()-1)</f>
        <v>0.55646392919386878</v>
      </c>
      <c r="B1506" s="2" t="e">
        <f t="shared" ca="1" si="31"/>
        <v>#N/A</v>
      </c>
      <c r="C1506" s="1">
        <v>1506</v>
      </c>
      <c r="D1506" s="1" t="s">
        <v>2976</v>
      </c>
      <c r="E1506" s="1" t="s">
        <v>2977</v>
      </c>
    </row>
    <row r="1507" spans="1:5" ht="25">
      <c r="A1507" s="2">
        <f ca="1">IF(COUNTIF($AA$1:$BXX$24,1507) = 0,RAND(),RAND()-1)</f>
        <v>0.46807017638767578</v>
      </c>
      <c r="B1507" s="2" t="e">
        <f t="shared" ca="1" si="31"/>
        <v>#N/A</v>
      </c>
      <c r="C1507" s="1">
        <v>1507</v>
      </c>
      <c r="D1507" s="1" t="s">
        <v>2978</v>
      </c>
      <c r="E1507" s="1" t="s">
        <v>1493</v>
      </c>
    </row>
    <row r="1508" spans="1:5" ht="25">
      <c r="A1508" s="2">
        <f ca="1">IF(COUNTIF($AA$1:$BXX$24,1508) = 0,RAND(),RAND()-1)</f>
        <v>0.5709929972624318</v>
      </c>
      <c r="B1508" s="2" t="e">
        <f t="shared" ca="1" si="31"/>
        <v>#N/A</v>
      </c>
      <c r="C1508" s="1">
        <v>1508</v>
      </c>
      <c r="D1508" s="1" t="s">
        <v>2979</v>
      </c>
      <c r="E1508" s="1" t="s">
        <v>2980</v>
      </c>
    </row>
    <row r="1509" spans="1:5" ht="25">
      <c r="A1509" s="2">
        <f ca="1">IF(COUNTIF($AA$1:$BXX$24,1509) = 0,RAND(),RAND()-1)</f>
        <v>0.17501697947189232</v>
      </c>
      <c r="B1509" s="2" t="e">
        <f t="shared" ca="1" si="31"/>
        <v>#N/A</v>
      </c>
      <c r="C1509" s="1">
        <v>1509</v>
      </c>
      <c r="D1509" s="1" t="s">
        <v>2981</v>
      </c>
      <c r="E1509" s="1" t="s">
        <v>2982</v>
      </c>
    </row>
    <row r="1510" spans="1:5" ht="25">
      <c r="A1510" s="2">
        <f ca="1">IF(COUNTIF($AA$1:$BXX$24,1510) = 0,RAND(),RAND()-1)</f>
        <v>0.21105162643546105</v>
      </c>
      <c r="B1510" s="2" t="e">
        <f t="shared" ca="1" si="31"/>
        <v>#N/A</v>
      </c>
      <c r="C1510" s="1">
        <v>1510</v>
      </c>
      <c r="D1510" s="1" t="s">
        <v>2983</v>
      </c>
      <c r="E1510" s="1" t="s">
        <v>2984</v>
      </c>
    </row>
    <row r="1511" spans="1:5" ht="25">
      <c r="A1511" s="2">
        <f ca="1">IF(COUNTIF($AA$1:$BXX$24,1511) = 0,RAND(),RAND()-1)</f>
        <v>0.60340555758332826</v>
      </c>
      <c r="B1511" s="2" t="e">
        <f t="shared" ca="1" si="31"/>
        <v>#N/A</v>
      </c>
      <c r="C1511" s="1">
        <v>1511</v>
      </c>
      <c r="D1511" s="1" t="s">
        <v>2985</v>
      </c>
      <c r="E1511" s="1" t="s">
        <v>2878</v>
      </c>
    </row>
    <row r="1512" spans="1:5" ht="25">
      <c r="A1512" s="2">
        <f ca="1">IF(COUNTIF($AA$1:$BXX$24,1512) = 0,RAND(),RAND()-1)</f>
        <v>0.77450589856577412</v>
      </c>
      <c r="B1512" s="2" t="e">
        <f t="shared" ca="1" si="31"/>
        <v>#N/A</v>
      </c>
      <c r="C1512" s="1">
        <v>1512</v>
      </c>
      <c r="D1512" s="1" t="s">
        <v>2986</v>
      </c>
      <c r="E1512" s="1" t="s">
        <v>2987</v>
      </c>
    </row>
    <row r="1513" spans="1:5" ht="25">
      <c r="A1513" s="2">
        <f ca="1">IF(COUNTIF($AA$1:$BXX$24,1513) = 0,RAND(),RAND()-1)</f>
        <v>0.51575829800604833</v>
      </c>
      <c r="B1513" s="2" t="e">
        <f t="shared" ca="1" si="31"/>
        <v>#N/A</v>
      </c>
      <c r="C1513" s="1">
        <v>1513</v>
      </c>
      <c r="D1513" s="1" t="s">
        <v>2988</v>
      </c>
      <c r="E1513" s="1" t="s">
        <v>2989</v>
      </c>
    </row>
    <row r="1514" spans="1:5" ht="25">
      <c r="A1514" s="2">
        <f ca="1">IF(COUNTIF($AA$1:$BXX$24,1514) = 0,RAND(),RAND()-1)</f>
        <v>0.54341404477795374</v>
      </c>
      <c r="B1514" s="2" t="e">
        <f t="shared" ca="1" si="31"/>
        <v>#N/A</v>
      </c>
      <c r="C1514" s="1">
        <v>1514</v>
      </c>
      <c r="D1514" s="1" t="s">
        <v>2990</v>
      </c>
      <c r="E1514" s="1" t="s">
        <v>2991</v>
      </c>
    </row>
    <row r="1515" spans="1:5" ht="25">
      <c r="A1515" s="2">
        <f ca="1">IF(COUNTIF($AA$1:$BXX$24,1515) = 0,RAND(),RAND()-1)</f>
        <v>0.31000850263946456</v>
      </c>
      <c r="B1515" s="2" t="e">
        <f t="shared" ca="1" si="31"/>
        <v>#N/A</v>
      </c>
      <c r="C1515" s="1">
        <v>1515</v>
      </c>
      <c r="D1515" s="1" t="s">
        <v>2992</v>
      </c>
      <c r="E1515" s="1" t="s">
        <v>2993</v>
      </c>
    </row>
    <row r="1516" spans="1:5" ht="25">
      <c r="A1516" s="2">
        <f ca="1">IF(COUNTIF($AA$1:$BXX$24,1516) = 0,RAND(),RAND()-1)</f>
        <v>0.11387422503455946</v>
      </c>
      <c r="B1516" s="2" t="e">
        <f t="shared" ca="1" si="31"/>
        <v>#N/A</v>
      </c>
      <c r="C1516" s="1">
        <v>1516</v>
      </c>
      <c r="D1516" s="1" t="s">
        <v>2994</v>
      </c>
      <c r="E1516" s="1" t="s">
        <v>2995</v>
      </c>
    </row>
    <row r="1517" spans="1:5" ht="25">
      <c r="A1517" s="2">
        <f ca="1">IF(COUNTIF($AA$1:$BXX$24,1517) = 0,RAND(),RAND()-1)</f>
        <v>0.69240997880092958</v>
      </c>
      <c r="B1517" s="2" t="e">
        <f t="shared" ca="1" si="31"/>
        <v>#N/A</v>
      </c>
      <c r="C1517" s="1">
        <v>1517</v>
      </c>
      <c r="D1517" s="1" t="s">
        <v>2996</v>
      </c>
      <c r="E1517" s="1" t="s">
        <v>2997</v>
      </c>
    </row>
    <row r="1518" spans="1:5" ht="25">
      <c r="A1518" s="2">
        <f ca="1">IF(COUNTIF($AA$1:$BXX$24,1518) = 0,RAND(),RAND()-1)</f>
        <v>0.31890057127078864</v>
      </c>
      <c r="B1518" s="2" t="e">
        <f t="shared" ca="1" si="31"/>
        <v>#N/A</v>
      </c>
      <c r="C1518" s="1">
        <v>1518</v>
      </c>
      <c r="D1518" s="1" t="s">
        <v>2998</v>
      </c>
      <c r="E1518" s="1" t="s">
        <v>2999</v>
      </c>
    </row>
    <row r="1519" spans="1:5" ht="25">
      <c r="A1519" s="2">
        <f ca="1">IF(COUNTIF($AA$1:$BXX$24,1519) = 0,RAND(),RAND()-1)</f>
        <v>0.12318149514648691</v>
      </c>
      <c r="B1519" s="2" t="e">
        <f t="shared" ca="1" si="31"/>
        <v>#N/A</v>
      </c>
      <c r="C1519" s="1">
        <v>1519</v>
      </c>
      <c r="D1519" s="1" t="s">
        <v>3000</v>
      </c>
      <c r="E1519" s="1" t="s">
        <v>3001</v>
      </c>
    </row>
    <row r="1520" spans="1:5" ht="25">
      <c r="A1520" s="2">
        <f ca="1">IF(COUNTIF($AA$1:$BXX$24,1520) = 0,RAND(),RAND()-1)</f>
        <v>4.3493152818665615E-2</v>
      </c>
      <c r="B1520" s="2" t="e">
        <f t="shared" ca="1" si="31"/>
        <v>#N/A</v>
      </c>
      <c r="C1520" s="1">
        <v>1520</v>
      </c>
      <c r="D1520" s="1" t="s">
        <v>3002</v>
      </c>
      <c r="E1520" s="1" t="s">
        <v>3003</v>
      </c>
    </row>
    <row r="1521" spans="1:5" ht="25">
      <c r="A1521" s="2">
        <f ca="1">IF(COUNTIF($AA$1:$BXX$24,1521) = 0,RAND(),RAND()-1)</f>
        <v>0.21083060034176593</v>
      </c>
      <c r="B1521" s="2" t="e">
        <f t="shared" ca="1" si="31"/>
        <v>#N/A</v>
      </c>
      <c r="C1521" s="1">
        <v>1521</v>
      </c>
      <c r="D1521" s="1" t="s">
        <v>3004</v>
      </c>
      <c r="E1521" s="1" t="s">
        <v>3005</v>
      </c>
    </row>
    <row r="1522" spans="1:5" ht="25">
      <c r="A1522" s="2">
        <f ca="1">IF(COUNTIF($AA$1:$BXX$24,1522) = 0,RAND(),RAND()-1)</f>
        <v>0.67643609367577684</v>
      </c>
      <c r="B1522" s="2" t="e">
        <f t="shared" ca="1" si="31"/>
        <v>#N/A</v>
      </c>
      <c r="C1522" s="1">
        <v>1522</v>
      </c>
      <c r="D1522" s="1" t="s">
        <v>3006</v>
      </c>
      <c r="E1522" s="1" t="s">
        <v>3007</v>
      </c>
    </row>
    <row r="1523" spans="1:5" ht="25">
      <c r="A1523" s="2">
        <f ca="1">IF(COUNTIF($AA$1:$BXX$24,1523) = 0,RAND(),RAND()-1)</f>
        <v>0.83081580391157983</v>
      </c>
      <c r="B1523" s="2" t="e">
        <f t="shared" ca="1" si="31"/>
        <v>#N/A</v>
      </c>
      <c r="C1523" s="1">
        <v>1523</v>
      </c>
      <c r="D1523" s="1" t="s">
        <v>3008</v>
      </c>
      <c r="E1523" s="1" t="s">
        <v>3009</v>
      </c>
    </row>
    <row r="1524" spans="1:5" ht="25">
      <c r="A1524" s="2">
        <f ca="1">IF(COUNTIF($AA$1:$BXX$24,1524) = 0,RAND(),RAND()-1)</f>
        <v>0.55144622622264017</v>
      </c>
      <c r="B1524" s="2" t="e">
        <f t="shared" ca="1" si="31"/>
        <v>#N/A</v>
      </c>
      <c r="C1524" s="1">
        <v>1524</v>
      </c>
      <c r="D1524" s="1" t="s">
        <v>3010</v>
      </c>
      <c r="E1524" s="1" t="s">
        <v>3011</v>
      </c>
    </row>
    <row r="1525" spans="1:5" ht="25">
      <c r="A1525" s="2">
        <f ca="1">IF(COUNTIF($AA$1:$BXX$24,1525) = 0,RAND(),RAND()-1)</f>
        <v>0.51273386638408802</v>
      </c>
      <c r="B1525" s="2" t="e">
        <f t="shared" ca="1" si="31"/>
        <v>#N/A</v>
      </c>
      <c r="C1525" s="1">
        <v>1525</v>
      </c>
      <c r="D1525" s="1" t="s">
        <v>3012</v>
      </c>
      <c r="E1525" s="1" t="s">
        <v>3013</v>
      </c>
    </row>
    <row r="1526" spans="1:5" ht="25">
      <c r="A1526" s="2">
        <f ca="1">IF(COUNTIF($AA$1:$BXX$24,1526) = 0,RAND(),RAND()-1)</f>
        <v>0.72291337193148619</v>
      </c>
      <c r="B1526" s="2" t="e">
        <f t="shared" ca="1" si="31"/>
        <v>#N/A</v>
      </c>
      <c r="C1526" s="1">
        <v>1526</v>
      </c>
      <c r="D1526" s="1" t="s">
        <v>3014</v>
      </c>
      <c r="E1526" s="1" t="s">
        <v>3015</v>
      </c>
    </row>
    <row r="1527" spans="1:5" ht="25">
      <c r="A1527" s="2">
        <f ca="1">IF(COUNTIF($AA$1:$BXX$24,1527) = 0,RAND(),RAND()-1)</f>
        <v>0.71985117140762378</v>
      </c>
      <c r="B1527" s="2" t="e">
        <f t="shared" ca="1" si="31"/>
        <v>#N/A</v>
      </c>
      <c r="C1527" s="1">
        <v>1527</v>
      </c>
      <c r="D1527" s="1" t="s">
        <v>3016</v>
      </c>
      <c r="E1527" s="1" t="s">
        <v>3017</v>
      </c>
    </row>
    <row r="1528" spans="1:5" ht="25">
      <c r="A1528" s="2">
        <f ca="1">IF(COUNTIF($AA$1:$BXX$24,1528) = 0,RAND(),RAND()-1)</f>
        <v>0.45178678533553807</v>
      </c>
      <c r="B1528" s="2" t="e">
        <f t="shared" ca="1" si="31"/>
        <v>#N/A</v>
      </c>
      <c r="C1528" s="1">
        <v>1528</v>
      </c>
      <c r="D1528" s="1" t="s">
        <v>3018</v>
      </c>
      <c r="E1528" s="1" t="s">
        <v>3019</v>
      </c>
    </row>
    <row r="1529" spans="1:5" ht="25">
      <c r="A1529" s="2">
        <f ca="1">IF(COUNTIF($AA$1:$BXX$24,1529) = 0,RAND(),RAND()-1)</f>
        <v>0.21047555280852859</v>
      </c>
      <c r="B1529" s="2" t="e">
        <f t="shared" ca="1" si="31"/>
        <v>#N/A</v>
      </c>
      <c r="C1529" s="1">
        <v>1529</v>
      </c>
      <c r="D1529" s="1" t="s">
        <v>3020</v>
      </c>
      <c r="E1529" s="1" t="s">
        <v>3021</v>
      </c>
    </row>
    <row r="1530" spans="1:5" ht="25">
      <c r="A1530" s="2">
        <f ca="1">IF(COUNTIF($AA$1:$BXX$24,1530) = 0,RAND(),RAND()-1)</f>
        <v>0.11100817536584262</v>
      </c>
      <c r="B1530" s="2" t="e">
        <f t="shared" ca="1" si="31"/>
        <v>#N/A</v>
      </c>
      <c r="C1530" s="1">
        <v>1530</v>
      </c>
      <c r="D1530" s="1" t="s">
        <v>3022</v>
      </c>
      <c r="E1530" s="1" t="s">
        <v>3023</v>
      </c>
    </row>
    <row r="1531" spans="1:5" ht="25">
      <c r="A1531" s="2">
        <f ca="1">IF(COUNTIF($AA$1:$BXX$24,1531) = 0,RAND(),RAND()-1)</f>
        <v>7.2862743864311463E-2</v>
      </c>
      <c r="B1531" s="2" t="e">
        <f t="shared" ca="1" si="31"/>
        <v>#N/A</v>
      </c>
      <c r="C1531" s="1">
        <v>1531</v>
      </c>
      <c r="D1531" s="1" t="s">
        <v>3024</v>
      </c>
      <c r="E1531" s="1" t="s">
        <v>3025</v>
      </c>
    </row>
    <row r="1532" spans="1:5" ht="25">
      <c r="A1532" s="2">
        <f ca="1">IF(COUNTIF($AA$1:$BXX$24,1532) = 0,RAND(),RAND()-1)</f>
        <v>0.83683144847320956</v>
      </c>
      <c r="B1532" s="2" t="e">
        <f t="shared" ca="1" si="31"/>
        <v>#N/A</v>
      </c>
      <c r="C1532" s="1">
        <v>1532</v>
      </c>
      <c r="D1532" s="1" t="s">
        <v>3026</v>
      </c>
      <c r="E1532" s="1" t="s">
        <v>3027</v>
      </c>
    </row>
    <row r="1533" spans="1:5" ht="25">
      <c r="A1533" s="2">
        <f ca="1">IF(COUNTIF($AA$1:$BXX$24,1533) = 0,RAND(),RAND()-1)</f>
        <v>0.85804098469344647</v>
      </c>
      <c r="B1533" s="2" t="e">
        <f t="shared" ca="1" si="31"/>
        <v>#N/A</v>
      </c>
      <c r="C1533" s="1">
        <v>1533</v>
      </c>
      <c r="D1533" s="1" t="s">
        <v>3028</v>
      </c>
      <c r="E1533" s="1" t="s">
        <v>3029</v>
      </c>
    </row>
    <row r="1534" spans="1:5" ht="25">
      <c r="A1534" s="2">
        <f ca="1">IF(COUNTIF($AA$1:$BXX$24,1534) = 0,RAND(),RAND()-1)</f>
        <v>0.65036367048664778</v>
      </c>
      <c r="B1534" s="2" t="e">
        <f t="shared" ca="1" si="31"/>
        <v>#N/A</v>
      </c>
      <c r="C1534" s="1">
        <v>1534</v>
      </c>
      <c r="D1534" s="1" t="s">
        <v>3030</v>
      </c>
      <c r="E1534" s="1" t="s">
        <v>3031</v>
      </c>
    </row>
    <row r="1535" spans="1:5" ht="25">
      <c r="A1535" s="2">
        <f ca="1">IF(COUNTIF($AA$1:$BXX$24,1535) = 0,RAND(),RAND()-1)</f>
        <v>0.61167407192061796</v>
      </c>
      <c r="B1535" s="2" t="e">
        <f t="shared" ca="1" si="31"/>
        <v>#N/A</v>
      </c>
      <c r="C1535" s="1">
        <v>1535</v>
      </c>
      <c r="D1535" s="1" t="s">
        <v>3032</v>
      </c>
      <c r="E1535" s="1" t="s">
        <v>3033</v>
      </c>
    </row>
    <row r="1536" spans="1:5" ht="25">
      <c r="A1536" s="2">
        <f ca="1">IF(COUNTIF($AA$1:$BXX$24,1536) = 0,RAND(),RAND()-1)</f>
        <v>0.6443450008625391</v>
      </c>
      <c r="B1536" s="2" t="e">
        <f t="shared" ca="1" si="31"/>
        <v>#N/A</v>
      </c>
      <c r="C1536" s="1">
        <v>1536</v>
      </c>
      <c r="D1536" s="1" t="s">
        <v>3034</v>
      </c>
      <c r="E1536" s="1" t="s">
        <v>3035</v>
      </c>
    </row>
    <row r="1537" spans="1:5" ht="25">
      <c r="A1537" s="2">
        <f ca="1">IF(COUNTIF($AA$1:$BXX$24,1537) = 0,RAND(),RAND()-1)</f>
        <v>0.60230954529056513</v>
      </c>
      <c r="B1537" s="2" t="e">
        <f t="shared" ref="B1537:B1600" ca="1" si="32">RANK(A1537,OFFSET($A$1,$G$1-1,0,$G$2-$G$1+1))</f>
        <v>#N/A</v>
      </c>
      <c r="C1537" s="1">
        <v>1537</v>
      </c>
      <c r="D1537" s="1" t="s">
        <v>3036</v>
      </c>
      <c r="E1537" s="1" t="s">
        <v>3037</v>
      </c>
    </row>
    <row r="1538" spans="1:5" ht="25">
      <c r="A1538" s="2">
        <f ca="1">IF(COUNTIF($AA$1:$BXX$24,1538) = 0,RAND(),RAND()-1)</f>
        <v>0.97170357672944474</v>
      </c>
      <c r="B1538" s="2" t="e">
        <f t="shared" ca="1" si="32"/>
        <v>#N/A</v>
      </c>
      <c r="C1538" s="1">
        <v>1538</v>
      </c>
      <c r="D1538" s="1" t="s">
        <v>3038</v>
      </c>
      <c r="E1538" s="1" t="s">
        <v>3039</v>
      </c>
    </row>
    <row r="1539" spans="1:5" ht="25">
      <c r="A1539" s="2">
        <f ca="1">IF(COUNTIF($AA$1:$BXX$24,1539) = 0,RAND(),RAND()-1)</f>
        <v>0.13303987915197679</v>
      </c>
      <c r="B1539" s="2" t="e">
        <f t="shared" ca="1" si="32"/>
        <v>#N/A</v>
      </c>
      <c r="C1539" s="1">
        <v>1539</v>
      </c>
      <c r="D1539" s="1" t="s">
        <v>3040</v>
      </c>
      <c r="E1539" s="1" t="s">
        <v>3041</v>
      </c>
    </row>
    <row r="1540" spans="1:5" ht="25">
      <c r="A1540" s="2">
        <f ca="1">IF(COUNTIF($AA$1:$BXX$24,1540) = 0,RAND(),RAND()-1)</f>
        <v>0.1675316552186048</v>
      </c>
      <c r="B1540" s="2" t="e">
        <f t="shared" ca="1" si="32"/>
        <v>#N/A</v>
      </c>
      <c r="C1540" s="1">
        <v>1540</v>
      </c>
      <c r="D1540" s="1" t="s">
        <v>3042</v>
      </c>
      <c r="E1540" s="1" t="s">
        <v>3043</v>
      </c>
    </row>
    <row r="1541" spans="1:5" ht="25">
      <c r="A1541" s="2">
        <f ca="1">IF(COUNTIF($AA$1:$BXX$24,1541) = 0,RAND(),RAND()-1)</f>
        <v>0.36023921989747099</v>
      </c>
      <c r="B1541" s="2" t="e">
        <f t="shared" ca="1" si="32"/>
        <v>#N/A</v>
      </c>
      <c r="C1541" s="1">
        <v>1541</v>
      </c>
      <c r="D1541" s="1" t="s">
        <v>3044</v>
      </c>
      <c r="E1541" s="1" t="s">
        <v>3045</v>
      </c>
    </row>
    <row r="1542" spans="1:5" ht="25">
      <c r="A1542" s="2">
        <f ca="1">IF(COUNTIF($AA$1:$BXX$24,1542) = 0,RAND(),RAND()-1)</f>
        <v>0.35138542582579468</v>
      </c>
      <c r="B1542" s="2" t="e">
        <f t="shared" ca="1" si="32"/>
        <v>#N/A</v>
      </c>
      <c r="C1542" s="1">
        <v>1542</v>
      </c>
      <c r="D1542" s="1" t="s">
        <v>3046</v>
      </c>
      <c r="E1542" s="1" t="s">
        <v>3047</v>
      </c>
    </row>
    <row r="1543" spans="1:5" ht="25">
      <c r="A1543" s="2">
        <f ca="1">IF(COUNTIF($AA$1:$BXX$24,1543) = 0,RAND(),RAND()-1)</f>
        <v>0.68972501284886678</v>
      </c>
      <c r="B1543" s="2" t="e">
        <f t="shared" ca="1" si="32"/>
        <v>#N/A</v>
      </c>
      <c r="C1543" s="1">
        <v>1543</v>
      </c>
      <c r="D1543" s="1" t="s">
        <v>3048</v>
      </c>
      <c r="E1543" s="1" t="s">
        <v>3049</v>
      </c>
    </row>
    <row r="1544" spans="1:5" ht="25">
      <c r="A1544" s="2">
        <f ca="1">IF(COUNTIF($AA$1:$BXX$24,1544) = 0,RAND(),RAND()-1)</f>
        <v>0.97420796653717823</v>
      </c>
      <c r="B1544" s="2" t="e">
        <f t="shared" ca="1" si="32"/>
        <v>#N/A</v>
      </c>
      <c r="C1544" s="1">
        <v>1544</v>
      </c>
      <c r="D1544" s="1" t="s">
        <v>3050</v>
      </c>
      <c r="E1544" s="1" t="s">
        <v>3033</v>
      </c>
    </row>
    <row r="1545" spans="1:5" ht="25">
      <c r="A1545" s="2">
        <f ca="1">IF(COUNTIF($AA$1:$BXX$24,1545) = 0,RAND(),RAND()-1)</f>
        <v>0.79418208725169792</v>
      </c>
      <c r="B1545" s="2" t="e">
        <f t="shared" ca="1" si="32"/>
        <v>#N/A</v>
      </c>
      <c r="C1545" s="1">
        <v>1545</v>
      </c>
      <c r="D1545" s="1" t="s">
        <v>3051</v>
      </c>
      <c r="E1545" s="1" t="s">
        <v>3052</v>
      </c>
    </row>
    <row r="1546" spans="1:5" ht="25">
      <c r="A1546" s="2">
        <f ca="1">IF(COUNTIF($AA$1:$BXX$24,1546) = 0,RAND(),RAND()-1)</f>
        <v>0.42592484189474711</v>
      </c>
      <c r="B1546" s="2" t="e">
        <f t="shared" ca="1" si="32"/>
        <v>#N/A</v>
      </c>
      <c r="C1546" s="1">
        <v>1546</v>
      </c>
      <c r="D1546" s="1" t="s">
        <v>3053</v>
      </c>
      <c r="E1546" s="1" t="s">
        <v>3054</v>
      </c>
    </row>
    <row r="1547" spans="1:5" ht="25">
      <c r="A1547" s="2">
        <f ca="1">IF(COUNTIF($AA$1:$BXX$24,1547) = 0,RAND(),RAND()-1)</f>
        <v>0.18510051117437698</v>
      </c>
      <c r="B1547" s="2" t="e">
        <f t="shared" ca="1" si="32"/>
        <v>#N/A</v>
      </c>
      <c r="C1547" s="1">
        <v>1547</v>
      </c>
      <c r="D1547" s="1" t="s">
        <v>3055</v>
      </c>
      <c r="E1547" s="1" t="s">
        <v>3056</v>
      </c>
    </row>
    <row r="1548" spans="1:5" ht="25">
      <c r="A1548" s="2">
        <f ca="1">IF(COUNTIF($AA$1:$BXX$24,1548) = 0,RAND(),RAND()-1)</f>
        <v>0.55888709854776708</v>
      </c>
      <c r="B1548" s="2" t="e">
        <f t="shared" ca="1" si="32"/>
        <v>#N/A</v>
      </c>
      <c r="C1548" s="1">
        <v>1548</v>
      </c>
      <c r="D1548" s="1" t="s">
        <v>3057</v>
      </c>
      <c r="E1548" s="1" t="s">
        <v>3058</v>
      </c>
    </row>
    <row r="1549" spans="1:5" ht="25">
      <c r="A1549" s="2">
        <f ca="1">IF(COUNTIF($AA$1:$BXX$24,1549) = 0,RAND(),RAND()-1)</f>
        <v>0.93168201270712769</v>
      </c>
      <c r="B1549" s="2" t="e">
        <f t="shared" ca="1" si="32"/>
        <v>#N/A</v>
      </c>
      <c r="C1549" s="1">
        <v>1549</v>
      </c>
      <c r="D1549" s="1" t="s">
        <v>3059</v>
      </c>
      <c r="E1549" s="1" t="s">
        <v>3060</v>
      </c>
    </row>
    <row r="1550" spans="1:5" ht="25">
      <c r="A1550" s="2">
        <f ca="1">IF(COUNTIF($AA$1:$BXX$24,1550) = 0,RAND(),RAND()-1)</f>
        <v>0.87716956191420703</v>
      </c>
      <c r="B1550" s="2" t="e">
        <f t="shared" ca="1" si="32"/>
        <v>#N/A</v>
      </c>
      <c r="C1550" s="1">
        <v>1550</v>
      </c>
      <c r="D1550" s="1" t="s">
        <v>3061</v>
      </c>
      <c r="E1550" s="1" t="s">
        <v>3062</v>
      </c>
    </row>
    <row r="1551" spans="1:5" ht="25">
      <c r="A1551" s="2">
        <f ca="1">IF(COUNTIF($AA$1:$BXX$24,1551) = 0,RAND(),RAND()-1)</f>
        <v>0.45550223942316959</v>
      </c>
      <c r="B1551" s="2" t="e">
        <f t="shared" ca="1" si="32"/>
        <v>#N/A</v>
      </c>
      <c r="C1551" s="1">
        <v>1551</v>
      </c>
      <c r="D1551" s="1" t="s">
        <v>3063</v>
      </c>
      <c r="E1551" s="1" t="s">
        <v>3064</v>
      </c>
    </row>
    <row r="1552" spans="1:5" ht="25">
      <c r="A1552" s="2">
        <f ca="1">IF(COUNTIF($AA$1:$BXX$24,1552) = 0,RAND(),RAND()-1)</f>
        <v>6.3285336217235089E-2</v>
      </c>
      <c r="B1552" s="2" t="e">
        <f t="shared" ca="1" si="32"/>
        <v>#N/A</v>
      </c>
      <c r="C1552" s="1">
        <v>1552</v>
      </c>
      <c r="D1552" s="1" t="s">
        <v>3065</v>
      </c>
      <c r="E1552" s="1" t="s">
        <v>3066</v>
      </c>
    </row>
    <row r="1553" spans="1:5" ht="25">
      <c r="A1553" s="2">
        <f ca="1">IF(COUNTIF($AA$1:$BXX$24,1553) = 0,RAND(),RAND()-1)</f>
        <v>0.90906377090484636</v>
      </c>
      <c r="B1553" s="2" t="e">
        <f t="shared" ca="1" si="32"/>
        <v>#N/A</v>
      </c>
      <c r="C1553" s="1">
        <v>1553</v>
      </c>
      <c r="D1553" s="1" t="s">
        <v>3067</v>
      </c>
      <c r="E1553" s="1" t="s">
        <v>3068</v>
      </c>
    </row>
    <row r="1554" spans="1:5" ht="25">
      <c r="A1554" s="2">
        <f ca="1">IF(COUNTIF($AA$1:$BXX$24,1554) = 0,RAND(),RAND()-1)</f>
        <v>0.37945281858774482</v>
      </c>
      <c r="B1554" s="2" t="e">
        <f t="shared" ca="1" si="32"/>
        <v>#N/A</v>
      </c>
      <c r="C1554" s="1">
        <v>1554</v>
      </c>
      <c r="D1554" s="1" t="s">
        <v>3069</v>
      </c>
      <c r="E1554" s="1" t="s">
        <v>3070</v>
      </c>
    </row>
    <row r="1555" spans="1:5" ht="25">
      <c r="A1555" s="2">
        <f ca="1">IF(COUNTIF($AA$1:$BXX$24,1555) = 0,RAND(),RAND()-1)</f>
        <v>0.47460216617478856</v>
      </c>
      <c r="B1555" s="2" t="e">
        <f t="shared" ca="1" si="32"/>
        <v>#N/A</v>
      </c>
      <c r="C1555" s="1">
        <v>1555</v>
      </c>
      <c r="D1555" s="1" t="s">
        <v>3071</v>
      </c>
      <c r="E1555" s="1" t="s">
        <v>3072</v>
      </c>
    </row>
    <row r="1556" spans="1:5" ht="25">
      <c r="A1556" s="2">
        <f ca="1">IF(COUNTIF($AA$1:$BXX$24,1556) = 0,RAND(),RAND()-1)</f>
        <v>0.63640183175760501</v>
      </c>
      <c r="B1556" s="2" t="e">
        <f t="shared" ca="1" si="32"/>
        <v>#N/A</v>
      </c>
      <c r="C1556" s="1">
        <v>1556</v>
      </c>
      <c r="D1556" s="1" t="s">
        <v>3073</v>
      </c>
      <c r="E1556" s="1" t="s">
        <v>3074</v>
      </c>
    </row>
    <row r="1557" spans="1:5" ht="25">
      <c r="A1557" s="2">
        <f ca="1">IF(COUNTIF($AA$1:$BXX$24,1557) = 0,RAND(),RAND()-1)</f>
        <v>0.27576411615718666</v>
      </c>
      <c r="B1557" s="2" t="e">
        <f t="shared" ca="1" si="32"/>
        <v>#N/A</v>
      </c>
      <c r="C1557" s="1">
        <v>1557</v>
      </c>
      <c r="D1557" s="1" t="s">
        <v>3075</v>
      </c>
      <c r="E1557" s="1" t="s">
        <v>3076</v>
      </c>
    </row>
    <row r="1558" spans="1:5" ht="25">
      <c r="A1558" s="2">
        <f ca="1">IF(COUNTIF($AA$1:$BXX$24,1558) = 0,RAND(),RAND()-1)</f>
        <v>0.69246527025766769</v>
      </c>
      <c r="B1558" s="2" t="e">
        <f t="shared" ca="1" si="32"/>
        <v>#N/A</v>
      </c>
      <c r="C1558" s="1">
        <v>1558</v>
      </c>
      <c r="D1558" s="1" t="s">
        <v>3077</v>
      </c>
      <c r="E1558" s="1" t="s">
        <v>3078</v>
      </c>
    </row>
    <row r="1559" spans="1:5" ht="25">
      <c r="A1559" s="2">
        <f ca="1">IF(COUNTIF($AA$1:$BXX$24,1559) = 0,RAND(),RAND()-1)</f>
        <v>0.22255899778274968</v>
      </c>
      <c r="B1559" s="2" t="e">
        <f t="shared" ca="1" si="32"/>
        <v>#N/A</v>
      </c>
      <c r="C1559" s="1">
        <v>1559</v>
      </c>
      <c r="D1559" s="1" t="s">
        <v>3079</v>
      </c>
      <c r="E1559" s="1" t="s">
        <v>3080</v>
      </c>
    </row>
    <row r="1560" spans="1:5" ht="25">
      <c r="A1560" s="2">
        <f ca="1">IF(COUNTIF($AA$1:$BXX$24,1560) = 0,RAND(),RAND()-1)</f>
        <v>5.5730203519231969E-3</v>
      </c>
      <c r="B1560" s="2" t="e">
        <f t="shared" ca="1" si="32"/>
        <v>#N/A</v>
      </c>
      <c r="C1560" s="1">
        <v>1560</v>
      </c>
      <c r="D1560" s="1" t="s">
        <v>3081</v>
      </c>
      <c r="E1560" s="1" t="s">
        <v>3082</v>
      </c>
    </row>
    <row r="1561" spans="1:5" ht="25">
      <c r="A1561" s="2">
        <f ca="1">IF(COUNTIF($AA$1:$BXX$24,1561) = 0,RAND(),RAND()-1)</f>
        <v>0.30625833529083912</v>
      </c>
      <c r="B1561" s="2" t="e">
        <f t="shared" ca="1" si="32"/>
        <v>#N/A</v>
      </c>
      <c r="C1561" s="1">
        <v>1561</v>
      </c>
      <c r="D1561" s="1" t="s">
        <v>3083</v>
      </c>
      <c r="E1561" s="1" t="s">
        <v>3084</v>
      </c>
    </row>
    <row r="1562" spans="1:5" ht="25">
      <c r="A1562" s="2">
        <f ca="1">IF(COUNTIF($AA$1:$BXX$24,1562) = 0,RAND(),RAND()-1)</f>
        <v>0.43062445021483475</v>
      </c>
      <c r="B1562" s="2" t="e">
        <f t="shared" ca="1" si="32"/>
        <v>#N/A</v>
      </c>
      <c r="C1562" s="1">
        <v>1562</v>
      </c>
      <c r="D1562" s="1" t="s">
        <v>3085</v>
      </c>
      <c r="E1562" s="1" t="s">
        <v>3086</v>
      </c>
    </row>
    <row r="1563" spans="1:5" ht="25">
      <c r="A1563" s="2">
        <f ca="1">IF(COUNTIF($AA$1:$BXX$24,1563) = 0,RAND(),RAND()-1)</f>
        <v>4.4523999274873605E-3</v>
      </c>
      <c r="B1563" s="2" t="e">
        <f t="shared" ca="1" si="32"/>
        <v>#N/A</v>
      </c>
      <c r="C1563" s="1">
        <v>1563</v>
      </c>
      <c r="D1563" s="1" t="s">
        <v>3087</v>
      </c>
      <c r="E1563" s="1" t="s">
        <v>3088</v>
      </c>
    </row>
    <row r="1564" spans="1:5" ht="25">
      <c r="A1564" s="2">
        <f ca="1">IF(COUNTIF($AA$1:$BXX$24,1564) = 0,RAND(),RAND()-1)</f>
        <v>0.57163335521632341</v>
      </c>
      <c r="B1564" s="2" t="e">
        <f t="shared" ca="1" si="32"/>
        <v>#N/A</v>
      </c>
      <c r="C1564" s="1">
        <v>1564</v>
      </c>
      <c r="D1564" s="1" t="s">
        <v>3089</v>
      </c>
      <c r="E1564" s="1" t="s">
        <v>914</v>
      </c>
    </row>
    <row r="1565" spans="1:5" ht="25">
      <c r="A1565" s="2">
        <f ca="1">IF(COUNTIF($AA$1:$BXX$24,1565) = 0,RAND(),RAND()-1)</f>
        <v>0.63553413527108016</v>
      </c>
      <c r="B1565" s="2" t="e">
        <f t="shared" ca="1" si="32"/>
        <v>#N/A</v>
      </c>
      <c r="C1565" s="1">
        <v>1565</v>
      </c>
      <c r="D1565" s="1" t="s">
        <v>3090</v>
      </c>
      <c r="E1565" s="1" t="s">
        <v>3091</v>
      </c>
    </row>
    <row r="1566" spans="1:5" ht="25">
      <c r="A1566" s="2">
        <f ca="1">IF(COUNTIF($AA$1:$BXX$24,1566) = 0,RAND(),RAND()-1)</f>
        <v>0.13898754924082368</v>
      </c>
      <c r="B1566" s="2" t="e">
        <f t="shared" ca="1" si="32"/>
        <v>#N/A</v>
      </c>
      <c r="C1566" s="1">
        <v>1566</v>
      </c>
      <c r="D1566" s="1" t="s">
        <v>3092</v>
      </c>
      <c r="E1566" s="1" t="s">
        <v>3093</v>
      </c>
    </row>
    <row r="1567" spans="1:5" ht="25">
      <c r="A1567" s="2">
        <f ca="1">IF(COUNTIF($AA$1:$BXX$24,1567) = 0,RAND(),RAND()-1)</f>
        <v>0.43846335763726119</v>
      </c>
      <c r="B1567" s="2" t="e">
        <f t="shared" ca="1" si="32"/>
        <v>#N/A</v>
      </c>
      <c r="C1567" s="1">
        <v>1567</v>
      </c>
      <c r="D1567" s="1" t="s">
        <v>3094</v>
      </c>
      <c r="E1567" s="1" t="s">
        <v>3095</v>
      </c>
    </row>
    <row r="1568" spans="1:5" ht="25">
      <c r="A1568" s="2">
        <f ca="1">IF(COUNTIF($AA$1:$BXX$24,1568) = 0,RAND(),RAND()-1)</f>
        <v>0.3563535091302944</v>
      </c>
      <c r="B1568" s="2" t="e">
        <f t="shared" ca="1" si="32"/>
        <v>#N/A</v>
      </c>
      <c r="C1568" s="1">
        <v>1568</v>
      </c>
      <c r="D1568" s="1" t="s">
        <v>3096</v>
      </c>
      <c r="E1568" s="1" t="s">
        <v>3097</v>
      </c>
    </row>
    <row r="1569" spans="1:5" ht="25">
      <c r="A1569" s="2">
        <f ca="1">IF(COUNTIF($AA$1:$BXX$24,1569) = 0,RAND(),RAND()-1)</f>
        <v>0.64702272598945676</v>
      </c>
      <c r="B1569" s="2" t="e">
        <f t="shared" ca="1" si="32"/>
        <v>#N/A</v>
      </c>
      <c r="C1569" s="1">
        <v>1569</v>
      </c>
      <c r="D1569" s="1" t="s">
        <v>3098</v>
      </c>
      <c r="E1569" s="1" t="s">
        <v>3099</v>
      </c>
    </row>
    <row r="1570" spans="1:5" ht="25">
      <c r="A1570" s="2">
        <f ca="1">IF(COUNTIF($AA$1:$BXX$24,1570) = 0,RAND(),RAND()-1)</f>
        <v>8.7485812705783594E-2</v>
      </c>
      <c r="B1570" s="2" t="e">
        <f t="shared" ca="1" si="32"/>
        <v>#N/A</v>
      </c>
      <c r="C1570" s="1">
        <v>1570</v>
      </c>
      <c r="D1570" s="1" t="s">
        <v>3100</v>
      </c>
      <c r="E1570" s="1" t="s">
        <v>2011</v>
      </c>
    </row>
    <row r="1571" spans="1:5" ht="25">
      <c r="A1571" s="2">
        <f ca="1">IF(COUNTIF($AA$1:$BXX$24,1571) = 0,RAND(),RAND()-1)</f>
        <v>0.56206308839324703</v>
      </c>
      <c r="B1571" s="2" t="e">
        <f t="shared" ca="1" si="32"/>
        <v>#N/A</v>
      </c>
      <c r="C1571" s="1">
        <v>1571</v>
      </c>
      <c r="D1571" s="1" t="s">
        <v>3101</v>
      </c>
      <c r="E1571" s="1" t="s">
        <v>3102</v>
      </c>
    </row>
    <row r="1572" spans="1:5" ht="25">
      <c r="A1572" s="2">
        <f ca="1">IF(COUNTIF($AA$1:$BXX$24,1572) = 0,RAND(),RAND()-1)</f>
        <v>0.97405001961922189</v>
      </c>
      <c r="B1572" s="2" t="e">
        <f t="shared" ca="1" si="32"/>
        <v>#N/A</v>
      </c>
      <c r="C1572" s="1">
        <v>1572</v>
      </c>
      <c r="D1572" s="1" t="s">
        <v>3103</v>
      </c>
      <c r="E1572" s="1" t="s">
        <v>3104</v>
      </c>
    </row>
    <row r="1573" spans="1:5" ht="25">
      <c r="A1573" s="2">
        <f ca="1">IF(COUNTIF($AA$1:$BXX$24,1573) = 0,RAND(),RAND()-1)</f>
        <v>0.94875029238596642</v>
      </c>
      <c r="B1573" s="2" t="e">
        <f t="shared" ca="1" si="32"/>
        <v>#N/A</v>
      </c>
      <c r="C1573" s="1">
        <v>1573</v>
      </c>
      <c r="D1573" s="1" t="s">
        <v>3105</v>
      </c>
      <c r="E1573" s="1" t="s">
        <v>3106</v>
      </c>
    </row>
    <row r="1574" spans="1:5" ht="25">
      <c r="A1574" s="2">
        <f ca="1">IF(COUNTIF($AA$1:$BXX$24,1574) = 0,RAND(),RAND()-1)</f>
        <v>0.41486064283584212</v>
      </c>
      <c r="B1574" s="2" t="e">
        <f t="shared" ca="1" si="32"/>
        <v>#N/A</v>
      </c>
      <c r="C1574" s="1">
        <v>1574</v>
      </c>
      <c r="D1574" s="1" t="s">
        <v>3107</v>
      </c>
      <c r="E1574" s="1" t="s">
        <v>3108</v>
      </c>
    </row>
    <row r="1575" spans="1:5" ht="25">
      <c r="A1575" s="2">
        <f ca="1">IF(COUNTIF($AA$1:$BXX$24,1575) = 0,RAND(),RAND()-1)</f>
        <v>0.77048075729501864</v>
      </c>
      <c r="B1575" s="2" t="e">
        <f t="shared" ca="1" si="32"/>
        <v>#N/A</v>
      </c>
      <c r="C1575" s="1">
        <v>1575</v>
      </c>
      <c r="D1575" s="1" t="s">
        <v>3109</v>
      </c>
      <c r="E1575" s="1" t="s">
        <v>3110</v>
      </c>
    </row>
    <row r="1576" spans="1:5" ht="25">
      <c r="A1576" s="2">
        <f ca="1">IF(COUNTIF($AA$1:$BXX$24,1576) = 0,RAND(),RAND()-1)</f>
        <v>2.6463657346561864E-2</v>
      </c>
      <c r="B1576" s="2" t="e">
        <f t="shared" ca="1" si="32"/>
        <v>#N/A</v>
      </c>
      <c r="C1576" s="1">
        <v>1576</v>
      </c>
      <c r="D1576" s="1" t="s">
        <v>3111</v>
      </c>
      <c r="E1576" s="1" t="s">
        <v>3112</v>
      </c>
    </row>
    <row r="1577" spans="1:5" ht="25">
      <c r="A1577" s="2">
        <f ca="1">IF(COUNTIF($AA$1:$BXX$24,1577) = 0,RAND(),RAND()-1)</f>
        <v>0.77778439632723539</v>
      </c>
      <c r="B1577" s="2" t="e">
        <f t="shared" ca="1" si="32"/>
        <v>#N/A</v>
      </c>
      <c r="C1577" s="1">
        <v>1577</v>
      </c>
      <c r="D1577" s="1" t="s">
        <v>3113</v>
      </c>
      <c r="E1577" s="1" t="s">
        <v>3114</v>
      </c>
    </row>
    <row r="1578" spans="1:5" ht="25">
      <c r="A1578" s="2">
        <f ca="1">IF(COUNTIF($AA$1:$BXX$24,1578) = 0,RAND(),RAND()-1)</f>
        <v>0.56978054476394946</v>
      </c>
      <c r="B1578" s="2" t="e">
        <f t="shared" ca="1" si="32"/>
        <v>#N/A</v>
      </c>
      <c r="C1578" s="1">
        <v>1578</v>
      </c>
      <c r="D1578" s="1" t="s">
        <v>3115</v>
      </c>
      <c r="E1578" s="1" t="s">
        <v>3116</v>
      </c>
    </row>
    <row r="1579" spans="1:5" ht="25">
      <c r="A1579" s="2">
        <f ca="1">IF(COUNTIF($AA$1:$BXX$24,1579) = 0,RAND(),RAND()-1)</f>
        <v>0.19307013145958662</v>
      </c>
      <c r="B1579" s="2" t="e">
        <f t="shared" ca="1" si="32"/>
        <v>#N/A</v>
      </c>
      <c r="C1579" s="1">
        <v>1579</v>
      </c>
      <c r="D1579" s="1" t="s">
        <v>3117</v>
      </c>
      <c r="E1579" s="1" t="s">
        <v>3118</v>
      </c>
    </row>
    <row r="1580" spans="1:5" ht="25">
      <c r="A1580" s="2">
        <f ca="1">IF(COUNTIF($AA$1:$BXX$24,1580) = 0,RAND(),RAND()-1)</f>
        <v>0.69634425875206485</v>
      </c>
      <c r="B1580" s="2" t="e">
        <f t="shared" ca="1" si="32"/>
        <v>#N/A</v>
      </c>
      <c r="C1580" s="1">
        <v>1580</v>
      </c>
      <c r="D1580" s="1" t="s">
        <v>3119</v>
      </c>
      <c r="E1580" s="1" t="s">
        <v>3120</v>
      </c>
    </row>
    <row r="1581" spans="1:5" ht="25">
      <c r="A1581" s="2">
        <f ca="1">IF(COUNTIF($AA$1:$BXX$24,1581) = 0,RAND(),RAND()-1)</f>
        <v>0.84069484014563822</v>
      </c>
      <c r="B1581" s="2" t="e">
        <f t="shared" ca="1" si="32"/>
        <v>#N/A</v>
      </c>
      <c r="C1581" s="1">
        <v>1581</v>
      </c>
      <c r="D1581" s="1" t="s">
        <v>3121</v>
      </c>
      <c r="E1581" s="1" t="s">
        <v>3122</v>
      </c>
    </row>
    <row r="1582" spans="1:5" ht="25">
      <c r="A1582" s="2">
        <f ca="1">IF(COUNTIF($AA$1:$BXX$24,1582) = 0,RAND(),RAND()-1)</f>
        <v>0.32756690801836874</v>
      </c>
      <c r="B1582" s="2" t="e">
        <f t="shared" ca="1" si="32"/>
        <v>#N/A</v>
      </c>
      <c r="C1582" s="1">
        <v>1582</v>
      </c>
      <c r="D1582" s="1" t="s">
        <v>3123</v>
      </c>
      <c r="E1582" s="1" t="s">
        <v>3124</v>
      </c>
    </row>
    <row r="1583" spans="1:5" ht="25">
      <c r="A1583" s="2">
        <f ca="1">IF(COUNTIF($AA$1:$BXX$24,1583) = 0,RAND(),RAND()-1)</f>
        <v>0.77745697818346959</v>
      </c>
      <c r="B1583" s="2" t="e">
        <f t="shared" ca="1" si="32"/>
        <v>#N/A</v>
      </c>
      <c r="C1583" s="1">
        <v>1583</v>
      </c>
      <c r="D1583" s="1" t="s">
        <v>3125</v>
      </c>
      <c r="E1583" s="1" t="s">
        <v>3126</v>
      </c>
    </row>
    <row r="1584" spans="1:5" ht="25">
      <c r="A1584" s="2">
        <f ca="1">IF(COUNTIF($AA$1:$BXX$24,1584) = 0,RAND(),RAND()-1)</f>
        <v>0.27762587590474785</v>
      </c>
      <c r="B1584" s="2" t="e">
        <f t="shared" ca="1" si="32"/>
        <v>#N/A</v>
      </c>
      <c r="C1584" s="1">
        <v>1584</v>
      </c>
      <c r="D1584" s="1" t="s">
        <v>3127</v>
      </c>
      <c r="E1584" s="1" t="s">
        <v>3128</v>
      </c>
    </row>
    <row r="1585" spans="1:5" ht="25">
      <c r="A1585" s="2">
        <f ca="1">IF(COUNTIF($AA$1:$BXX$24,1585) = 0,RAND(),RAND()-1)</f>
        <v>0.49221645714617135</v>
      </c>
      <c r="B1585" s="2" t="e">
        <f t="shared" ca="1" si="32"/>
        <v>#N/A</v>
      </c>
      <c r="C1585" s="1">
        <v>1585</v>
      </c>
      <c r="D1585" s="1" t="s">
        <v>3129</v>
      </c>
      <c r="E1585" s="1" t="s">
        <v>3130</v>
      </c>
    </row>
    <row r="1586" spans="1:5" ht="25">
      <c r="A1586" s="2">
        <f ca="1">IF(COUNTIF($AA$1:$BXX$24,1586) = 0,RAND(),RAND()-1)</f>
        <v>0.30778802667928873</v>
      </c>
      <c r="B1586" s="2" t="e">
        <f t="shared" ca="1" si="32"/>
        <v>#N/A</v>
      </c>
      <c r="C1586" s="1">
        <v>1586</v>
      </c>
      <c r="D1586" s="1" t="s">
        <v>3131</v>
      </c>
      <c r="E1586" s="1" t="s">
        <v>3132</v>
      </c>
    </row>
    <row r="1587" spans="1:5" ht="25">
      <c r="A1587" s="2">
        <f ca="1">IF(COUNTIF($AA$1:$BXX$24,1587) = 0,RAND(),RAND()-1)</f>
        <v>0.10112262460918431</v>
      </c>
      <c r="B1587" s="2" t="e">
        <f t="shared" ca="1" si="32"/>
        <v>#N/A</v>
      </c>
      <c r="C1587" s="1">
        <v>1587</v>
      </c>
      <c r="D1587" s="1" t="s">
        <v>3133</v>
      </c>
      <c r="E1587" s="1" t="s">
        <v>3134</v>
      </c>
    </row>
    <row r="1588" spans="1:5" ht="25">
      <c r="A1588" s="2">
        <f ca="1">IF(COUNTIF($AA$1:$BXX$24,1588) = 0,RAND(),RAND()-1)</f>
        <v>0.54627125338060445</v>
      </c>
      <c r="B1588" s="2" t="e">
        <f t="shared" ca="1" si="32"/>
        <v>#N/A</v>
      </c>
      <c r="C1588" s="1">
        <v>1588</v>
      </c>
      <c r="D1588" s="1" t="s">
        <v>3135</v>
      </c>
      <c r="E1588" s="1" t="s">
        <v>3136</v>
      </c>
    </row>
    <row r="1589" spans="1:5" ht="25">
      <c r="A1589" s="2">
        <f ca="1">IF(COUNTIF($AA$1:$BXX$24,1589) = 0,RAND(),RAND()-1)</f>
        <v>0.54145109746592357</v>
      </c>
      <c r="B1589" s="2" t="e">
        <f t="shared" ca="1" si="32"/>
        <v>#N/A</v>
      </c>
      <c r="C1589" s="1">
        <v>1589</v>
      </c>
      <c r="D1589" s="1" t="s">
        <v>3137</v>
      </c>
      <c r="E1589" s="1" t="s">
        <v>3138</v>
      </c>
    </row>
    <row r="1590" spans="1:5" ht="25">
      <c r="A1590" s="2">
        <f ca="1">IF(COUNTIF($AA$1:$BXX$24,1590) = 0,RAND(),RAND()-1)</f>
        <v>0.75093641984739967</v>
      </c>
      <c r="B1590" s="2" t="e">
        <f t="shared" ca="1" si="32"/>
        <v>#N/A</v>
      </c>
      <c r="C1590" s="1">
        <v>1590</v>
      </c>
      <c r="D1590" s="1" t="s">
        <v>3139</v>
      </c>
      <c r="E1590" s="1" t="s">
        <v>3140</v>
      </c>
    </row>
    <row r="1591" spans="1:5" ht="25">
      <c r="A1591" s="2">
        <f ca="1">IF(COUNTIF($AA$1:$BXX$24,1591) = 0,RAND(),RAND()-1)</f>
        <v>0.11683286908371526</v>
      </c>
      <c r="B1591" s="2" t="e">
        <f t="shared" ca="1" si="32"/>
        <v>#N/A</v>
      </c>
      <c r="C1591" s="1">
        <v>1591</v>
      </c>
      <c r="D1591" s="1" t="s">
        <v>3141</v>
      </c>
      <c r="E1591" s="1" t="s">
        <v>3142</v>
      </c>
    </row>
    <row r="1592" spans="1:5" ht="25">
      <c r="A1592" s="2">
        <f ca="1">IF(COUNTIF($AA$1:$BXX$24,1592) = 0,RAND(),RAND()-1)</f>
        <v>0.71900789171458768</v>
      </c>
      <c r="B1592" s="2" t="e">
        <f t="shared" ca="1" si="32"/>
        <v>#N/A</v>
      </c>
      <c r="C1592" s="1">
        <v>1592</v>
      </c>
      <c r="D1592" s="1" t="s">
        <v>3143</v>
      </c>
      <c r="E1592" s="1" t="s">
        <v>3144</v>
      </c>
    </row>
    <row r="1593" spans="1:5" ht="25">
      <c r="A1593" s="2">
        <f ca="1">IF(COUNTIF($AA$1:$BXX$24,1593) = 0,RAND(),RAND()-1)</f>
        <v>0.71346408541990591</v>
      </c>
      <c r="B1593" s="2" t="e">
        <f t="shared" ca="1" si="32"/>
        <v>#N/A</v>
      </c>
      <c r="C1593" s="1">
        <v>1593</v>
      </c>
      <c r="D1593" s="1" t="s">
        <v>3145</v>
      </c>
      <c r="E1593" s="1" t="s">
        <v>3146</v>
      </c>
    </row>
    <row r="1594" spans="1:5" ht="25">
      <c r="A1594" s="2">
        <f ca="1">IF(COUNTIF($AA$1:$BXX$24,1594) = 0,RAND(),RAND()-1)</f>
        <v>4.098020259246804E-2</v>
      </c>
      <c r="B1594" s="2" t="e">
        <f t="shared" ca="1" si="32"/>
        <v>#N/A</v>
      </c>
      <c r="C1594" s="1">
        <v>1594</v>
      </c>
      <c r="D1594" s="1" t="s">
        <v>3147</v>
      </c>
      <c r="E1594" s="1" t="s">
        <v>3148</v>
      </c>
    </row>
    <row r="1595" spans="1:5" ht="25">
      <c r="A1595" s="2">
        <f ca="1">IF(COUNTIF($AA$1:$BXX$24,1595) = 0,RAND(),RAND()-1)</f>
        <v>0.81360176218107638</v>
      </c>
      <c r="B1595" s="2" t="e">
        <f t="shared" ca="1" si="32"/>
        <v>#N/A</v>
      </c>
      <c r="C1595" s="1">
        <v>1595</v>
      </c>
      <c r="D1595" s="1" t="s">
        <v>3149</v>
      </c>
      <c r="E1595" s="1" t="s">
        <v>3150</v>
      </c>
    </row>
    <row r="1596" spans="1:5" ht="25">
      <c r="A1596" s="2">
        <f ca="1">IF(COUNTIF($AA$1:$BXX$24,1596) = 0,RAND(),RAND()-1)</f>
        <v>0.13168321785641923</v>
      </c>
      <c r="B1596" s="2" t="e">
        <f t="shared" ca="1" si="32"/>
        <v>#N/A</v>
      </c>
      <c r="C1596" s="1">
        <v>1596</v>
      </c>
      <c r="D1596" s="1" t="s">
        <v>3151</v>
      </c>
      <c r="E1596" s="1" t="s">
        <v>3152</v>
      </c>
    </row>
    <row r="1597" spans="1:5" ht="25">
      <c r="A1597" s="2">
        <f ca="1">IF(COUNTIF($AA$1:$BXX$24,1597) = 0,RAND(),RAND()-1)</f>
        <v>2.8665899083468727E-4</v>
      </c>
      <c r="B1597" s="2" t="e">
        <f t="shared" ca="1" si="32"/>
        <v>#N/A</v>
      </c>
      <c r="C1597" s="1">
        <v>1597</v>
      </c>
      <c r="D1597" s="1" t="s">
        <v>3153</v>
      </c>
      <c r="E1597" s="1" t="s">
        <v>3154</v>
      </c>
    </row>
    <row r="1598" spans="1:5" ht="25">
      <c r="A1598" s="2">
        <f ca="1">IF(COUNTIF($AA$1:$BXX$24,1598) = 0,RAND(),RAND()-1)</f>
        <v>0.18110471995473398</v>
      </c>
      <c r="B1598" s="2" t="e">
        <f t="shared" ca="1" si="32"/>
        <v>#N/A</v>
      </c>
      <c r="C1598" s="1">
        <v>1598</v>
      </c>
      <c r="D1598" s="1" t="s">
        <v>3155</v>
      </c>
      <c r="E1598" s="1" t="s">
        <v>3156</v>
      </c>
    </row>
    <row r="1599" spans="1:5" ht="25">
      <c r="A1599" s="2">
        <f ca="1">IF(COUNTIF($AA$1:$BXX$24,1599) = 0,RAND(),RAND()-1)</f>
        <v>0.37579467052281978</v>
      </c>
      <c r="B1599" s="2" t="e">
        <f t="shared" ca="1" si="32"/>
        <v>#N/A</v>
      </c>
      <c r="C1599" s="1">
        <v>1599</v>
      </c>
      <c r="D1599" s="1" t="s">
        <v>3157</v>
      </c>
      <c r="E1599" s="1" t="s">
        <v>3158</v>
      </c>
    </row>
    <row r="1600" spans="1:5" ht="25">
      <c r="A1600" s="2">
        <f ca="1">IF(COUNTIF($AA$1:$BXX$24,1600) = 0,RAND(),RAND()-1)</f>
        <v>0.61394817314287065</v>
      </c>
      <c r="B1600" s="2" t="e">
        <f t="shared" ca="1" si="32"/>
        <v>#N/A</v>
      </c>
      <c r="C1600" s="1">
        <v>1600</v>
      </c>
      <c r="D1600" s="1" t="s">
        <v>3159</v>
      </c>
      <c r="E1600" s="1" t="s">
        <v>3160</v>
      </c>
    </row>
    <row r="1601" spans="1:5" ht="25">
      <c r="A1601" s="2">
        <f ca="1">IF(COUNTIF($AA$1:$BXX$24,1601) = 0,RAND(),RAND()-1)</f>
        <v>0.41672722193102951</v>
      </c>
      <c r="B1601" s="2" t="e">
        <f t="shared" ref="B1601:B1664" ca="1" si="33">RANK(A1601,OFFSET($A$1,$G$1-1,0,$G$2-$G$1+1))</f>
        <v>#N/A</v>
      </c>
      <c r="C1601" s="1">
        <v>1601</v>
      </c>
      <c r="D1601" s="1" t="s">
        <v>3161</v>
      </c>
      <c r="E1601" s="1" t="s">
        <v>3054</v>
      </c>
    </row>
    <row r="1602" spans="1:5" ht="25">
      <c r="A1602" s="2">
        <f ca="1">IF(COUNTIF($AA$1:$BXX$24,1602) = 0,RAND(),RAND()-1)</f>
        <v>0.616621272759869</v>
      </c>
      <c r="B1602" s="2" t="e">
        <f t="shared" ca="1" si="33"/>
        <v>#N/A</v>
      </c>
      <c r="C1602" s="1">
        <v>1602</v>
      </c>
      <c r="D1602" s="1" t="s">
        <v>3162</v>
      </c>
      <c r="E1602" s="1" t="s">
        <v>3163</v>
      </c>
    </row>
    <row r="1603" spans="1:5" ht="25">
      <c r="A1603" s="2">
        <f ca="1">IF(COUNTIF($AA$1:$BXX$24,1603) = 0,RAND(),RAND()-1)</f>
        <v>0.92389328432229667</v>
      </c>
      <c r="B1603" s="2" t="e">
        <f t="shared" ca="1" si="33"/>
        <v>#N/A</v>
      </c>
      <c r="C1603" s="1">
        <v>1603</v>
      </c>
      <c r="D1603" s="1" t="s">
        <v>3164</v>
      </c>
      <c r="E1603" s="1" t="s">
        <v>3165</v>
      </c>
    </row>
    <row r="1604" spans="1:5" ht="25">
      <c r="A1604" s="2">
        <f ca="1">IF(COUNTIF($AA$1:$BXX$24,1604) = 0,RAND(),RAND()-1)</f>
        <v>0.47880277256125559</v>
      </c>
      <c r="B1604" s="2" t="e">
        <f t="shared" ca="1" si="33"/>
        <v>#N/A</v>
      </c>
      <c r="C1604" s="1">
        <v>1604</v>
      </c>
      <c r="D1604" s="1" t="s">
        <v>3166</v>
      </c>
      <c r="E1604" s="1" t="s">
        <v>3167</v>
      </c>
    </row>
    <row r="1605" spans="1:5" ht="25">
      <c r="A1605" s="2">
        <f ca="1">IF(COUNTIF($AA$1:$BXX$24,1605) = 0,RAND(),RAND()-1)</f>
        <v>0.53165355732552588</v>
      </c>
      <c r="B1605" s="2" t="e">
        <f t="shared" ca="1" si="33"/>
        <v>#N/A</v>
      </c>
      <c r="C1605" s="1">
        <v>1605</v>
      </c>
      <c r="D1605" s="1" t="s">
        <v>3168</v>
      </c>
      <c r="E1605" s="1" t="s">
        <v>3169</v>
      </c>
    </row>
    <row r="1606" spans="1:5" ht="25">
      <c r="A1606" s="2">
        <f ca="1">IF(COUNTIF($AA$1:$BXX$24,1606) = 0,RAND(),RAND()-1)</f>
        <v>0.66697899086317214</v>
      </c>
      <c r="B1606" s="2" t="e">
        <f t="shared" ca="1" si="33"/>
        <v>#N/A</v>
      </c>
      <c r="C1606" s="1">
        <v>1606</v>
      </c>
      <c r="D1606" s="1" t="s">
        <v>3170</v>
      </c>
      <c r="E1606" s="1" t="s">
        <v>3171</v>
      </c>
    </row>
    <row r="1607" spans="1:5" ht="25">
      <c r="A1607" s="2">
        <f ca="1">IF(COUNTIF($AA$1:$BXX$24,1607) = 0,RAND(),RAND()-1)</f>
        <v>0.65509322241397661</v>
      </c>
      <c r="B1607" s="2" t="e">
        <f t="shared" ca="1" si="33"/>
        <v>#N/A</v>
      </c>
      <c r="C1607" s="1">
        <v>1607</v>
      </c>
      <c r="D1607" s="1" t="s">
        <v>3172</v>
      </c>
      <c r="E1607" s="1" t="s">
        <v>3173</v>
      </c>
    </row>
    <row r="1608" spans="1:5" ht="25">
      <c r="A1608" s="2">
        <f ca="1">IF(COUNTIF($AA$1:$BXX$24,1608) = 0,RAND(),RAND()-1)</f>
        <v>0.57217369577288735</v>
      </c>
      <c r="B1608" s="2" t="e">
        <f t="shared" ca="1" si="33"/>
        <v>#N/A</v>
      </c>
      <c r="C1608" s="1">
        <v>1608</v>
      </c>
      <c r="D1608" s="1" t="s">
        <v>3174</v>
      </c>
      <c r="E1608" s="1" t="s">
        <v>3175</v>
      </c>
    </row>
    <row r="1609" spans="1:5" ht="25">
      <c r="A1609" s="2">
        <f ca="1">IF(COUNTIF($AA$1:$BXX$24,1609) = 0,RAND(),RAND()-1)</f>
        <v>8.6929919547636958E-3</v>
      </c>
      <c r="B1609" s="2" t="e">
        <f t="shared" ca="1" si="33"/>
        <v>#N/A</v>
      </c>
      <c r="C1609" s="1">
        <v>1609</v>
      </c>
      <c r="D1609" s="1" t="s">
        <v>3176</v>
      </c>
      <c r="E1609" s="1" t="s">
        <v>532</v>
      </c>
    </row>
    <row r="1610" spans="1:5" ht="25">
      <c r="A1610" s="2">
        <f ca="1">IF(COUNTIF($AA$1:$BXX$24,1610) = 0,RAND(),RAND()-1)</f>
        <v>0.42219267503429803</v>
      </c>
      <c r="B1610" s="2" t="e">
        <f t="shared" ca="1" si="33"/>
        <v>#N/A</v>
      </c>
      <c r="C1610" s="1">
        <v>1610</v>
      </c>
      <c r="D1610" s="1" t="s">
        <v>3177</v>
      </c>
      <c r="E1610" s="1" t="s">
        <v>3178</v>
      </c>
    </row>
    <row r="1611" spans="1:5" ht="25">
      <c r="A1611" s="2">
        <f ca="1">IF(COUNTIF($AA$1:$BXX$24,1611) = 0,RAND(),RAND()-1)</f>
        <v>0.28540862306044346</v>
      </c>
      <c r="B1611" s="2" t="e">
        <f t="shared" ca="1" si="33"/>
        <v>#N/A</v>
      </c>
      <c r="C1611" s="1">
        <v>1611</v>
      </c>
      <c r="D1611" s="1" t="s">
        <v>3179</v>
      </c>
      <c r="E1611" s="1" t="s">
        <v>3180</v>
      </c>
    </row>
    <row r="1612" spans="1:5" ht="25">
      <c r="A1612" s="2">
        <f ca="1">IF(COUNTIF($AA$1:$BXX$24,1612) = 0,RAND(),RAND()-1)</f>
        <v>0.5644964473848324</v>
      </c>
      <c r="B1612" s="2" t="e">
        <f t="shared" ca="1" si="33"/>
        <v>#N/A</v>
      </c>
      <c r="C1612" s="1">
        <v>1612</v>
      </c>
      <c r="D1612" s="1" t="s">
        <v>3181</v>
      </c>
      <c r="E1612" s="1" t="s">
        <v>3182</v>
      </c>
    </row>
    <row r="1613" spans="1:5" ht="25">
      <c r="A1613" s="2">
        <f ca="1">IF(COUNTIF($AA$1:$BXX$24,1613) = 0,RAND(),RAND()-1)</f>
        <v>0.48780139322045335</v>
      </c>
      <c r="B1613" s="2" t="e">
        <f t="shared" ca="1" si="33"/>
        <v>#N/A</v>
      </c>
      <c r="C1613" s="1">
        <v>1613</v>
      </c>
      <c r="D1613" s="1" t="s">
        <v>3183</v>
      </c>
      <c r="E1613" s="1" t="s">
        <v>3184</v>
      </c>
    </row>
    <row r="1614" spans="1:5" ht="25">
      <c r="A1614" s="2">
        <f ca="1">IF(COUNTIF($AA$1:$BXX$24,1614) = 0,RAND(),RAND()-1)</f>
        <v>0.11725045800114975</v>
      </c>
      <c r="B1614" s="2" t="e">
        <f t="shared" ca="1" si="33"/>
        <v>#N/A</v>
      </c>
      <c r="C1614" s="1">
        <v>1614</v>
      </c>
      <c r="D1614" s="1" t="s">
        <v>3185</v>
      </c>
      <c r="E1614" s="1" t="s">
        <v>3186</v>
      </c>
    </row>
    <row r="1615" spans="1:5" ht="25">
      <c r="A1615" s="2">
        <f ca="1">IF(COUNTIF($AA$1:$BXX$24,1615) = 0,RAND(),RAND()-1)</f>
        <v>0.39880981341075583</v>
      </c>
      <c r="B1615" s="2" t="e">
        <f t="shared" ca="1" si="33"/>
        <v>#N/A</v>
      </c>
      <c r="C1615" s="1">
        <v>1615</v>
      </c>
      <c r="D1615" s="1" t="s">
        <v>3187</v>
      </c>
      <c r="E1615" s="1" t="s">
        <v>3188</v>
      </c>
    </row>
    <row r="1616" spans="1:5" ht="25">
      <c r="A1616" s="2">
        <f ca="1">IF(COUNTIF($AA$1:$BXX$24,1616) = 0,RAND(),RAND()-1)</f>
        <v>0.88589250361868221</v>
      </c>
      <c r="B1616" s="2" t="e">
        <f t="shared" ca="1" si="33"/>
        <v>#N/A</v>
      </c>
      <c r="C1616" s="1">
        <v>1616</v>
      </c>
      <c r="D1616" s="1" t="s">
        <v>3189</v>
      </c>
      <c r="E1616" s="1" t="s">
        <v>2300</v>
      </c>
    </row>
    <row r="1617" spans="1:5" ht="25">
      <c r="A1617" s="2">
        <f ca="1">IF(COUNTIF($AA$1:$BXX$24,1617) = 0,RAND(),RAND()-1)</f>
        <v>0.11664779306537765</v>
      </c>
      <c r="B1617" s="2" t="e">
        <f t="shared" ca="1" si="33"/>
        <v>#N/A</v>
      </c>
      <c r="C1617" s="1">
        <v>1617</v>
      </c>
      <c r="D1617" s="1" t="s">
        <v>3190</v>
      </c>
      <c r="E1617" s="1" t="s">
        <v>3191</v>
      </c>
    </row>
    <row r="1618" spans="1:5" ht="25">
      <c r="A1618" s="2">
        <f ca="1">IF(COUNTIF($AA$1:$BXX$24,1618) = 0,RAND(),RAND()-1)</f>
        <v>0.99524214831570323</v>
      </c>
      <c r="B1618" s="2" t="e">
        <f t="shared" ca="1" si="33"/>
        <v>#N/A</v>
      </c>
      <c r="C1618" s="1">
        <v>1618</v>
      </c>
      <c r="D1618" s="1" t="s">
        <v>3192</v>
      </c>
      <c r="E1618" s="1" t="s">
        <v>3193</v>
      </c>
    </row>
    <row r="1619" spans="1:5" ht="25">
      <c r="A1619" s="2">
        <f ca="1">IF(COUNTIF($AA$1:$BXX$24,1619) = 0,RAND(),RAND()-1)</f>
        <v>0.17215415125140621</v>
      </c>
      <c r="B1619" s="2" t="e">
        <f t="shared" ca="1" si="33"/>
        <v>#N/A</v>
      </c>
      <c r="C1619" s="1">
        <v>1619</v>
      </c>
      <c r="D1619" s="1" t="s">
        <v>3194</v>
      </c>
      <c r="E1619" s="1" t="s">
        <v>3195</v>
      </c>
    </row>
    <row r="1620" spans="1:5" ht="25">
      <c r="A1620" s="2">
        <f ca="1">IF(COUNTIF($AA$1:$BXX$24,1620) = 0,RAND(),RAND()-1)</f>
        <v>0.68667485174234244</v>
      </c>
      <c r="B1620" s="2" t="e">
        <f t="shared" ca="1" si="33"/>
        <v>#N/A</v>
      </c>
      <c r="C1620" s="1">
        <v>1620</v>
      </c>
      <c r="D1620" s="1" t="s">
        <v>3196</v>
      </c>
      <c r="E1620" s="1" t="s">
        <v>3197</v>
      </c>
    </row>
    <row r="1621" spans="1:5" ht="25">
      <c r="A1621" s="2">
        <f ca="1">IF(COUNTIF($AA$1:$BXX$24,1621) = 0,RAND(),RAND()-1)</f>
        <v>0.65629449900338988</v>
      </c>
      <c r="B1621" s="2" t="e">
        <f t="shared" ca="1" si="33"/>
        <v>#N/A</v>
      </c>
      <c r="C1621" s="1">
        <v>1621</v>
      </c>
      <c r="D1621" s="1" t="s">
        <v>3198</v>
      </c>
      <c r="E1621" s="1" t="s">
        <v>562</v>
      </c>
    </row>
    <row r="1622" spans="1:5" ht="25">
      <c r="A1622" s="2">
        <f ca="1">IF(COUNTIF($AA$1:$BXX$24,1622) = 0,RAND(),RAND()-1)</f>
        <v>0.7758318346301023</v>
      </c>
      <c r="B1622" s="2" t="e">
        <f t="shared" ca="1" si="33"/>
        <v>#N/A</v>
      </c>
      <c r="C1622" s="1">
        <v>1622</v>
      </c>
      <c r="D1622" s="1" t="s">
        <v>3199</v>
      </c>
      <c r="E1622" s="1" t="s">
        <v>3200</v>
      </c>
    </row>
    <row r="1623" spans="1:5" ht="25">
      <c r="A1623" s="2">
        <f ca="1">IF(COUNTIF($AA$1:$BXX$24,1623) = 0,RAND(),RAND()-1)</f>
        <v>0.19562899480937601</v>
      </c>
      <c r="B1623" s="2" t="e">
        <f t="shared" ca="1" si="33"/>
        <v>#N/A</v>
      </c>
      <c r="C1623" s="1">
        <v>1623</v>
      </c>
      <c r="D1623" s="1" t="s">
        <v>3201</v>
      </c>
      <c r="E1623" s="1" t="s">
        <v>3202</v>
      </c>
    </row>
    <row r="1624" spans="1:5" ht="25">
      <c r="A1624" s="2">
        <f ca="1">IF(COUNTIF($AA$1:$BXX$24,1624) = 0,RAND(),RAND()-1)</f>
        <v>2.028641773194062E-2</v>
      </c>
      <c r="B1624" s="2" t="e">
        <f t="shared" ca="1" si="33"/>
        <v>#N/A</v>
      </c>
      <c r="C1624" s="1">
        <v>1624</v>
      </c>
      <c r="D1624" s="1" t="s">
        <v>3203</v>
      </c>
      <c r="E1624" s="1" t="s">
        <v>3204</v>
      </c>
    </row>
    <row r="1625" spans="1:5" ht="25">
      <c r="A1625" s="2">
        <f ca="1">IF(COUNTIF($AA$1:$BXX$24,1625) = 0,RAND(),RAND()-1)</f>
        <v>0.33018758134818205</v>
      </c>
      <c r="B1625" s="2" t="e">
        <f t="shared" ca="1" si="33"/>
        <v>#N/A</v>
      </c>
      <c r="C1625" s="1">
        <v>1625</v>
      </c>
      <c r="D1625" s="1" t="s">
        <v>3205</v>
      </c>
      <c r="E1625" s="1" t="s">
        <v>3097</v>
      </c>
    </row>
    <row r="1626" spans="1:5" ht="25">
      <c r="A1626" s="2">
        <f ca="1">IF(COUNTIF($AA$1:$BXX$24,1626) = 0,RAND(),RAND()-1)</f>
        <v>0.31789314683872993</v>
      </c>
      <c r="B1626" s="2" t="e">
        <f t="shared" ca="1" si="33"/>
        <v>#N/A</v>
      </c>
      <c r="C1626" s="1">
        <v>1626</v>
      </c>
      <c r="D1626" s="1" t="s">
        <v>3206</v>
      </c>
      <c r="E1626" s="1" t="s">
        <v>3207</v>
      </c>
    </row>
    <row r="1627" spans="1:5" ht="25">
      <c r="A1627" s="2">
        <f ca="1">IF(COUNTIF($AA$1:$BXX$24,1627) = 0,RAND(),RAND()-1)</f>
        <v>0.24272369744528854</v>
      </c>
      <c r="B1627" s="2" t="e">
        <f t="shared" ca="1" si="33"/>
        <v>#N/A</v>
      </c>
      <c r="C1627" s="1">
        <v>1627</v>
      </c>
      <c r="D1627" s="1" t="s">
        <v>3208</v>
      </c>
      <c r="E1627" s="1" t="s">
        <v>3209</v>
      </c>
    </row>
    <row r="1628" spans="1:5" ht="25">
      <c r="A1628" s="2">
        <f ca="1">IF(COUNTIF($AA$1:$BXX$24,1628) = 0,RAND(),RAND()-1)</f>
        <v>0.32917023163647829</v>
      </c>
      <c r="B1628" s="2" t="e">
        <f t="shared" ca="1" si="33"/>
        <v>#N/A</v>
      </c>
      <c r="C1628" s="1">
        <v>1628</v>
      </c>
      <c r="D1628" s="1" t="s">
        <v>3210</v>
      </c>
      <c r="E1628" s="1" t="s">
        <v>3211</v>
      </c>
    </row>
    <row r="1629" spans="1:5" ht="25">
      <c r="A1629" s="2">
        <f ca="1">IF(COUNTIF($AA$1:$BXX$24,1629) = 0,RAND(),RAND()-1)</f>
        <v>0.99189218145529068</v>
      </c>
      <c r="B1629" s="2" t="e">
        <f t="shared" ca="1" si="33"/>
        <v>#N/A</v>
      </c>
      <c r="C1629" s="1">
        <v>1629</v>
      </c>
      <c r="D1629" s="1" t="s">
        <v>3212</v>
      </c>
      <c r="E1629" s="1" t="s">
        <v>3213</v>
      </c>
    </row>
    <row r="1630" spans="1:5" ht="25">
      <c r="A1630" s="2">
        <f ca="1">IF(COUNTIF($AA$1:$BXX$24,1630) = 0,RAND(),RAND()-1)</f>
        <v>0.6383918180125463</v>
      </c>
      <c r="B1630" s="2" t="e">
        <f t="shared" ca="1" si="33"/>
        <v>#N/A</v>
      </c>
      <c r="C1630" s="1">
        <v>1630</v>
      </c>
      <c r="D1630" s="1" t="s">
        <v>3214</v>
      </c>
      <c r="E1630" s="1" t="s">
        <v>3215</v>
      </c>
    </row>
    <row r="1631" spans="1:5" ht="25">
      <c r="A1631" s="2">
        <f ca="1">IF(COUNTIF($AA$1:$BXX$24,1631) = 0,RAND(),RAND()-1)</f>
        <v>1.8259165694880286E-2</v>
      </c>
      <c r="B1631" s="2" t="e">
        <f t="shared" ca="1" si="33"/>
        <v>#N/A</v>
      </c>
      <c r="C1631" s="1">
        <v>1631</v>
      </c>
      <c r="D1631" s="1" t="s">
        <v>3216</v>
      </c>
      <c r="E1631" s="1" t="s">
        <v>3217</v>
      </c>
    </row>
    <row r="1632" spans="1:5" ht="25">
      <c r="A1632" s="2">
        <f ca="1">IF(COUNTIF($AA$1:$BXX$24,1632) = 0,RAND(),RAND()-1)</f>
        <v>4.5515885858170901E-2</v>
      </c>
      <c r="B1632" s="2" t="e">
        <f t="shared" ca="1" si="33"/>
        <v>#N/A</v>
      </c>
      <c r="C1632" s="1">
        <v>1632</v>
      </c>
      <c r="D1632" s="1" t="s">
        <v>3218</v>
      </c>
      <c r="E1632" s="1" t="s">
        <v>2328</v>
      </c>
    </row>
    <row r="1633" spans="1:5" ht="25">
      <c r="A1633" s="2">
        <f ca="1">IF(COUNTIF($AA$1:$BXX$24,1633) = 0,RAND(),RAND()-1)</f>
        <v>0.20496560297229105</v>
      </c>
      <c r="B1633" s="2" t="e">
        <f t="shared" ca="1" si="33"/>
        <v>#N/A</v>
      </c>
      <c r="C1633" s="1">
        <v>1633</v>
      </c>
      <c r="D1633" s="1" t="s">
        <v>3219</v>
      </c>
      <c r="E1633" s="1" t="s">
        <v>3220</v>
      </c>
    </row>
    <row r="1634" spans="1:5" ht="25">
      <c r="A1634" s="2">
        <f ca="1">IF(COUNTIF($AA$1:$BXX$24,1634) = 0,RAND(),RAND()-1)</f>
        <v>0.45922102468151949</v>
      </c>
      <c r="B1634" s="2" t="e">
        <f t="shared" ca="1" si="33"/>
        <v>#N/A</v>
      </c>
      <c r="C1634" s="1">
        <v>1634</v>
      </c>
      <c r="D1634" s="1" t="s">
        <v>3221</v>
      </c>
      <c r="E1634" s="1" t="s">
        <v>3222</v>
      </c>
    </row>
    <row r="1635" spans="1:5" ht="25">
      <c r="A1635" s="2">
        <f ca="1">IF(COUNTIF($AA$1:$BXX$24,1635) = 0,RAND(),RAND()-1)</f>
        <v>0.67937443031384404</v>
      </c>
      <c r="B1635" s="2" t="e">
        <f t="shared" ca="1" si="33"/>
        <v>#N/A</v>
      </c>
      <c r="C1635" s="1">
        <v>1635</v>
      </c>
      <c r="D1635" s="1" t="s">
        <v>3223</v>
      </c>
      <c r="E1635" s="1" t="s">
        <v>562</v>
      </c>
    </row>
    <row r="1636" spans="1:5" ht="25">
      <c r="A1636" s="2">
        <f ca="1">IF(COUNTIF($AA$1:$BXX$24,1636) = 0,RAND(),RAND()-1)</f>
        <v>0.8613202166052043</v>
      </c>
      <c r="B1636" s="2" t="e">
        <f t="shared" ca="1" si="33"/>
        <v>#N/A</v>
      </c>
      <c r="C1636" s="1">
        <v>1636</v>
      </c>
      <c r="D1636" s="1" t="s">
        <v>3224</v>
      </c>
      <c r="E1636" s="1" t="s">
        <v>3225</v>
      </c>
    </row>
    <row r="1637" spans="1:5" ht="25">
      <c r="A1637" s="2">
        <f ca="1">IF(COUNTIF($AA$1:$BXX$24,1637) = 0,RAND(),RAND()-1)</f>
        <v>0.39638888434447894</v>
      </c>
      <c r="B1637" s="2" t="e">
        <f t="shared" ca="1" si="33"/>
        <v>#N/A</v>
      </c>
      <c r="C1637" s="1">
        <v>1637</v>
      </c>
      <c r="D1637" s="1" t="s">
        <v>3226</v>
      </c>
      <c r="E1637" s="1" t="s">
        <v>3227</v>
      </c>
    </row>
    <row r="1638" spans="1:5" ht="25">
      <c r="A1638" s="2">
        <f ca="1">IF(COUNTIF($AA$1:$BXX$24,1638) = 0,RAND(),RAND()-1)</f>
        <v>0.38725374819247327</v>
      </c>
      <c r="B1638" s="2" t="e">
        <f t="shared" ca="1" si="33"/>
        <v>#N/A</v>
      </c>
      <c r="C1638" s="1">
        <v>1638</v>
      </c>
      <c r="D1638" s="1" t="s">
        <v>3228</v>
      </c>
      <c r="E1638" s="1" t="s">
        <v>3229</v>
      </c>
    </row>
    <row r="1639" spans="1:5" ht="25">
      <c r="A1639" s="2">
        <f ca="1">IF(COUNTIF($AA$1:$BXX$24,1639) = 0,RAND(),RAND()-1)</f>
        <v>0.51141767560057416</v>
      </c>
      <c r="B1639" s="2" t="e">
        <f t="shared" ca="1" si="33"/>
        <v>#N/A</v>
      </c>
      <c r="C1639" s="1">
        <v>1639</v>
      </c>
      <c r="D1639" s="1" t="s">
        <v>3230</v>
      </c>
      <c r="E1639" s="1" t="s">
        <v>3231</v>
      </c>
    </row>
    <row r="1640" spans="1:5" ht="25">
      <c r="A1640" s="2">
        <f ca="1">IF(COUNTIF($AA$1:$BXX$24,1640) = 0,RAND(),RAND()-1)</f>
        <v>0.43305055727213115</v>
      </c>
      <c r="B1640" s="2" t="e">
        <f t="shared" ca="1" si="33"/>
        <v>#N/A</v>
      </c>
      <c r="C1640" s="1">
        <v>1640</v>
      </c>
      <c r="D1640" s="1" t="s">
        <v>3232</v>
      </c>
      <c r="E1640" s="1" t="s">
        <v>3233</v>
      </c>
    </row>
    <row r="1641" spans="1:5" ht="25">
      <c r="A1641" s="2">
        <f ca="1">IF(COUNTIF($AA$1:$BXX$24,1641) = 0,RAND(),RAND()-1)</f>
        <v>0.63682265808581373</v>
      </c>
      <c r="B1641" s="2" t="e">
        <f t="shared" ca="1" si="33"/>
        <v>#N/A</v>
      </c>
      <c r="C1641" s="1">
        <v>1641</v>
      </c>
      <c r="D1641" s="1" t="s">
        <v>3234</v>
      </c>
      <c r="E1641" s="1" t="s">
        <v>3235</v>
      </c>
    </row>
    <row r="1642" spans="1:5" ht="25">
      <c r="A1642" s="2">
        <f ca="1">IF(COUNTIF($AA$1:$BXX$24,1642) = 0,RAND(),RAND()-1)</f>
        <v>0.45191416399354478</v>
      </c>
      <c r="B1642" s="2" t="e">
        <f t="shared" ca="1" si="33"/>
        <v>#N/A</v>
      </c>
      <c r="C1642" s="1">
        <v>1642</v>
      </c>
      <c r="D1642" s="1" t="s">
        <v>3236</v>
      </c>
      <c r="E1642" s="1" t="s">
        <v>3237</v>
      </c>
    </row>
    <row r="1643" spans="1:5" ht="25">
      <c r="A1643" s="2">
        <f ca="1">IF(COUNTIF($AA$1:$BXX$24,1643) = 0,RAND(),RAND()-1)</f>
        <v>0.4413272204098545</v>
      </c>
      <c r="B1643" s="2" t="e">
        <f t="shared" ca="1" si="33"/>
        <v>#N/A</v>
      </c>
      <c r="C1643" s="1">
        <v>1643</v>
      </c>
      <c r="D1643" s="1" t="s">
        <v>3238</v>
      </c>
      <c r="E1643" s="1" t="s">
        <v>3239</v>
      </c>
    </row>
    <row r="1644" spans="1:5" ht="25">
      <c r="A1644" s="2">
        <f ca="1">IF(COUNTIF($AA$1:$BXX$24,1644) = 0,RAND(),RAND()-1)</f>
        <v>8.4085484427472212E-2</v>
      </c>
      <c r="B1644" s="2" t="e">
        <f t="shared" ca="1" si="33"/>
        <v>#N/A</v>
      </c>
      <c r="C1644" s="1">
        <v>1644</v>
      </c>
      <c r="D1644" s="1" t="s">
        <v>3240</v>
      </c>
      <c r="E1644" s="1" t="s">
        <v>3241</v>
      </c>
    </row>
    <row r="1645" spans="1:5" ht="25">
      <c r="A1645" s="2">
        <f ca="1">IF(COUNTIF($AA$1:$BXX$24,1645) = 0,RAND(),RAND()-1)</f>
        <v>0.66778316691671347</v>
      </c>
      <c r="B1645" s="2" t="e">
        <f t="shared" ca="1" si="33"/>
        <v>#N/A</v>
      </c>
      <c r="C1645" s="1">
        <v>1645</v>
      </c>
      <c r="D1645" s="1" t="s">
        <v>3242</v>
      </c>
      <c r="E1645" s="1" t="s">
        <v>3243</v>
      </c>
    </row>
    <row r="1646" spans="1:5" ht="25">
      <c r="A1646" s="2">
        <f ca="1">IF(COUNTIF($AA$1:$BXX$24,1646) = 0,RAND(),RAND()-1)</f>
        <v>6.4128096758318986E-2</v>
      </c>
      <c r="B1646" s="2" t="e">
        <f t="shared" ca="1" si="33"/>
        <v>#N/A</v>
      </c>
      <c r="C1646" s="1">
        <v>1646</v>
      </c>
      <c r="D1646" s="1" t="s">
        <v>3244</v>
      </c>
      <c r="E1646" s="1" t="s">
        <v>3245</v>
      </c>
    </row>
    <row r="1647" spans="1:5" ht="25">
      <c r="A1647" s="2">
        <f ca="1">IF(COUNTIF($AA$1:$BXX$24,1647) = 0,RAND(),RAND()-1)</f>
        <v>0.28422934720863857</v>
      </c>
      <c r="B1647" s="2" t="e">
        <f t="shared" ca="1" si="33"/>
        <v>#N/A</v>
      </c>
      <c r="C1647" s="1">
        <v>1647</v>
      </c>
      <c r="D1647" s="1" t="s">
        <v>3246</v>
      </c>
      <c r="E1647" s="1" t="s">
        <v>3247</v>
      </c>
    </row>
    <row r="1648" spans="1:5" ht="25">
      <c r="A1648" s="2">
        <f ca="1">IF(COUNTIF($AA$1:$BXX$24,1648) = 0,RAND(),RAND()-1)</f>
        <v>0.24397450617055938</v>
      </c>
      <c r="B1648" s="2" t="e">
        <f t="shared" ca="1" si="33"/>
        <v>#N/A</v>
      </c>
      <c r="C1648" s="1">
        <v>1648</v>
      </c>
      <c r="D1648" s="1" t="s">
        <v>3248</v>
      </c>
      <c r="E1648" s="1" t="s">
        <v>3249</v>
      </c>
    </row>
    <row r="1649" spans="1:5" ht="25">
      <c r="A1649" s="2">
        <f ca="1">IF(COUNTIF($AA$1:$BXX$24,1649) = 0,RAND(),RAND()-1)</f>
        <v>0.48755558876889826</v>
      </c>
      <c r="B1649" s="2" t="e">
        <f t="shared" ca="1" si="33"/>
        <v>#N/A</v>
      </c>
      <c r="C1649" s="1">
        <v>1649</v>
      </c>
      <c r="D1649" s="1" t="s">
        <v>3250</v>
      </c>
      <c r="E1649" s="1" t="s">
        <v>3251</v>
      </c>
    </row>
    <row r="1650" spans="1:5" ht="25">
      <c r="A1650" s="2">
        <f ca="1">IF(COUNTIF($AA$1:$BXX$24,1650) = 0,RAND(),RAND()-1)</f>
        <v>0.8871458236363029</v>
      </c>
      <c r="B1650" s="2" t="e">
        <f t="shared" ca="1" si="33"/>
        <v>#N/A</v>
      </c>
      <c r="C1650" s="1">
        <v>1650</v>
      </c>
      <c r="D1650" s="1" t="s">
        <v>3252</v>
      </c>
      <c r="E1650" s="1" t="s">
        <v>3253</v>
      </c>
    </row>
    <row r="1651" spans="1:5" ht="25">
      <c r="A1651" s="2">
        <f ca="1">IF(COUNTIF($AA$1:$BXX$24,1651) = 0,RAND(),RAND()-1)</f>
        <v>0.97469267649708446</v>
      </c>
      <c r="B1651" s="2" t="e">
        <f t="shared" ca="1" si="33"/>
        <v>#N/A</v>
      </c>
      <c r="C1651" s="1">
        <v>1651</v>
      </c>
      <c r="D1651" s="1" t="s">
        <v>3254</v>
      </c>
      <c r="E1651" s="1" t="s">
        <v>3255</v>
      </c>
    </row>
    <row r="1652" spans="1:5" ht="25">
      <c r="A1652" s="2">
        <f ca="1">IF(COUNTIF($AA$1:$BXX$24,1652) = 0,RAND(),RAND()-1)</f>
        <v>0.47408914372541355</v>
      </c>
      <c r="B1652" s="2" t="e">
        <f t="shared" ca="1" si="33"/>
        <v>#N/A</v>
      </c>
      <c r="C1652" s="1">
        <v>1652</v>
      </c>
      <c r="D1652" s="1" t="s">
        <v>3256</v>
      </c>
      <c r="E1652" s="1" t="s">
        <v>1131</v>
      </c>
    </row>
    <row r="1653" spans="1:5" ht="25">
      <c r="A1653" s="2">
        <f ca="1">IF(COUNTIF($AA$1:$BXX$24,1653) = 0,RAND(),RAND()-1)</f>
        <v>0.68267345818537561</v>
      </c>
      <c r="B1653" s="2" t="e">
        <f t="shared" ca="1" si="33"/>
        <v>#N/A</v>
      </c>
      <c r="C1653" s="1">
        <v>1653</v>
      </c>
      <c r="D1653" s="1" t="s">
        <v>3257</v>
      </c>
      <c r="E1653" s="1" t="s">
        <v>3258</v>
      </c>
    </row>
    <row r="1654" spans="1:5" ht="25">
      <c r="A1654" s="2">
        <f ca="1">IF(COUNTIF($AA$1:$BXX$24,1654) = 0,RAND(),RAND()-1)</f>
        <v>0.64675544678027796</v>
      </c>
      <c r="B1654" s="2" t="e">
        <f t="shared" ca="1" si="33"/>
        <v>#N/A</v>
      </c>
      <c r="C1654" s="1">
        <v>1654</v>
      </c>
      <c r="D1654" s="1" t="s">
        <v>3259</v>
      </c>
      <c r="E1654" s="1" t="s">
        <v>3260</v>
      </c>
    </row>
    <row r="1655" spans="1:5" ht="25">
      <c r="A1655" s="2">
        <f ca="1">IF(COUNTIF($AA$1:$BXX$24,1655) = 0,RAND(),RAND()-1)</f>
        <v>0.69948233960484585</v>
      </c>
      <c r="B1655" s="2" t="e">
        <f t="shared" ca="1" si="33"/>
        <v>#N/A</v>
      </c>
      <c r="C1655" s="1">
        <v>1655</v>
      </c>
      <c r="D1655" s="1" t="s">
        <v>3261</v>
      </c>
      <c r="E1655" s="1" t="s">
        <v>3262</v>
      </c>
    </row>
    <row r="1656" spans="1:5" ht="25">
      <c r="A1656" s="2">
        <f ca="1">IF(COUNTIF($AA$1:$BXX$24,1656) = 0,RAND(),RAND()-1)</f>
        <v>0.17792395878464351</v>
      </c>
      <c r="B1656" s="2" t="e">
        <f t="shared" ca="1" si="33"/>
        <v>#N/A</v>
      </c>
      <c r="C1656" s="1">
        <v>1656</v>
      </c>
      <c r="D1656" s="1" t="s">
        <v>3263</v>
      </c>
      <c r="E1656" s="1" t="s">
        <v>3264</v>
      </c>
    </row>
    <row r="1657" spans="1:5" ht="25">
      <c r="A1657" s="2">
        <f ca="1">IF(COUNTIF($AA$1:$BXX$24,1657) = 0,RAND(),RAND()-1)</f>
        <v>0.41069264413350659</v>
      </c>
      <c r="B1657" s="2" t="e">
        <f t="shared" ca="1" si="33"/>
        <v>#N/A</v>
      </c>
      <c r="C1657" s="1">
        <v>1657</v>
      </c>
      <c r="D1657" s="1" t="s">
        <v>3265</v>
      </c>
      <c r="E1657" s="1" t="s">
        <v>3266</v>
      </c>
    </row>
    <row r="1658" spans="1:5" ht="25">
      <c r="A1658" s="2">
        <f ca="1">IF(COUNTIF($AA$1:$BXX$24,1658) = 0,RAND(),RAND()-1)</f>
        <v>0.85451914897577641</v>
      </c>
      <c r="B1658" s="2" t="e">
        <f t="shared" ca="1" si="33"/>
        <v>#N/A</v>
      </c>
      <c r="C1658" s="1">
        <v>1658</v>
      </c>
      <c r="D1658" s="1" t="s">
        <v>3267</v>
      </c>
      <c r="E1658" s="1" t="s">
        <v>3268</v>
      </c>
    </row>
    <row r="1659" spans="1:5" ht="25">
      <c r="A1659" s="2">
        <f ca="1">IF(COUNTIF($AA$1:$BXX$24,1659) = 0,RAND(),RAND()-1)</f>
        <v>0.21642687727086807</v>
      </c>
      <c r="B1659" s="2" t="e">
        <f t="shared" ca="1" si="33"/>
        <v>#N/A</v>
      </c>
      <c r="C1659" s="1">
        <v>1659</v>
      </c>
      <c r="D1659" s="1" t="s">
        <v>3269</v>
      </c>
      <c r="E1659" s="1" t="s">
        <v>3270</v>
      </c>
    </row>
    <row r="1660" spans="1:5" ht="25">
      <c r="A1660" s="2">
        <f ca="1">IF(COUNTIF($AA$1:$BXX$24,1660) = 0,RAND(),RAND()-1)</f>
        <v>0.96421383076794009</v>
      </c>
      <c r="B1660" s="2" t="e">
        <f t="shared" ca="1" si="33"/>
        <v>#N/A</v>
      </c>
      <c r="C1660" s="1">
        <v>1660</v>
      </c>
      <c r="D1660" s="1" t="s">
        <v>3271</v>
      </c>
      <c r="E1660" s="1" t="s">
        <v>3272</v>
      </c>
    </row>
    <row r="1661" spans="1:5" ht="25">
      <c r="A1661" s="2">
        <f ca="1">IF(COUNTIF($AA$1:$BXX$24,1661) = 0,RAND(),RAND()-1)</f>
        <v>0.51710920961620155</v>
      </c>
      <c r="B1661" s="2" t="e">
        <f t="shared" ca="1" si="33"/>
        <v>#N/A</v>
      </c>
      <c r="C1661" s="1">
        <v>1661</v>
      </c>
      <c r="D1661" s="1" t="s">
        <v>3273</v>
      </c>
      <c r="E1661" s="1" t="s">
        <v>3274</v>
      </c>
    </row>
    <row r="1662" spans="1:5" ht="25">
      <c r="A1662" s="2">
        <f ca="1">IF(COUNTIF($AA$1:$BXX$24,1662) = 0,RAND(),RAND()-1)</f>
        <v>0.82610019429518211</v>
      </c>
      <c r="B1662" s="2" t="e">
        <f t="shared" ca="1" si="33"/>
        <v>#N/A</v>
      </c>
      <c r="C1662" s="1">
        <v>1662</v>
      </c>
      <c r="D1662" s="1" t="s">
        <v>3275</v>
      </c>
      <c r="E1662" s="1" t="s">
        <v>3276</v>
      </c>
    </row>
    <row r="1663" spans="1:5" ht="25">
      <c r="A1663" s="2">
        <f ca="1">IF(COUNTIF($AA$1:$BXX$24,1663) = 0,RAND(),RAND()-1)</f>
        <v>0.32000416509419127</v>
      </c>
      <c r="B1663" s="2" t="e">
        <f t="shared" ca="1" si="33"/>
        <v>#N/A</v>
      </c>
      <c r="C1663" s="1">
        <v>1663</v>
      </c>
      <c r="D1663" s="1" t="s">
        <v>3277</v>
      </c>
      <c r="E1663" s="1" t="s">
        <v>3278</v>
      </c>
    </row>
    <row r="1664" spans="1:5" ht="25">
      <c r="A1664" s="2">
        <f ca="1">IF(COUNTIF($AA$1:$BXX$24,1664) = 0,RAND(),RAND()-1)</f>
        <v>0.63175072054918013</v>
      </c>
      <c r="B1664" s="2" t="e">
        <f t="shared" ca="1" si="33"/>
        <v>#N/A</v>
      </c>
      <c r="C1664" s="1">
        <v>1664</v>
      </c>
      <c r="D1664" s="1" t="s">
        <v>3279</v>
      </c>
      <c r="E1664" s="1" t="s">
        <v>3280</v>
      </c>
    </row>
    <row r="1665" spans="1:5" ht="25">
      <c r="A1665" s="2">
        <f ca="1">IF(COUNTIF($AA$1:$BXX$24,1665) = 0,RAND(),RAND()-1)</f>
        <v>0.38437963008503651</v>
      </c>
      <c r="B1665" s="2" t="e">
        <f t="shared" ref="B1665:B1728" ca="1" si="34">RANK(A1665,OFFSET($A$1,$G$1-1,0,$G$2-$G$1+1))</f>
        <v>#N/A</v>
      </c>
      <c r="C1665" s="1">
        <v>1665</v>
      </c>
      <c r="D1665" s="1" t="s">
        <v>3281</v>
      </c>
      <c r="E1665" s="1" t="s">
        <v>3282</v>
      </c>
    </row>
    <row r="1666" spans="1:5" ht="25">
      <c r="A1666" s="2">
        <f ca="1">IF(COUNTIF($AA$1:$BXX$24,1666) = 0,RAND(),RAND()-1)</f>
        <v>0.91054023405781315</v>
      </c>
      <c r="B1666" s="2" t="e">
        <f t="shared" ca="1" si="34"/>
        <v>#N/A</v>
      </c>
      <c r="C1666" s="1">
        <v>1666</v>
      </c>
      <c r="D1666" s="1" t="s">
        <v>3283</v>
      </c>
      <c r="E1666" s="1" t="s">
        <v>3284</v>
      </c>
    </row>
    <row r="1667" spans="1:5" ht="25">
      <c r="A1667" s="2">
        <f ca="1">IF(COUNTIF($AA$1:$BXX$24,1667) = 0,RAND(),RAND()-1)</f>
        <v>0.90210473324074958</v>
      </c>
      <c r="B1667" s="2" t="e">
        <f t="shared" ca="1" si="34"/>
        <v>#N/A</v>
      </c>
      <c r="C1667" s="1">
        <v>1667</v>
      </c>
      <c r="D1667" s="1" t="s">
        <v>3285</v>
      </c>
      <c r="E1667" s="1" t="s">
        <v>3286</v>
      </c>
    </row>
    <row r="1668" spans="1:5" ht="25">
      <c r="A1668" s="2">
        <f ca="1">IF(COUNTIF($AA$1:$BXX$24,1668) = 0,RAND(),RAND()-1)</f>
        <v>0.16182064801316942</v>
      </c>
      <c r="B1668" s="2" t="e">
        <f t="shared" ca="1" si="34"/>
        <v>#N/A</v>
      </c>
      <c r="C1668" s="1">
        <v>1668</v>
      </c>
      <c r="D1668" s="1" t="s">
        <v>3287</v>
      </c>
      <c r="E1668" s="1" t="s">
        <v>3288</v>
      </c>
    </row>
    <row r="1669" spans="1:5" ht="25">
      <c r="A1669" s="2">
        <f ca="1">IF(COUNTIF($AA$1:$BXX$24,1669) = 0,RAND(),RAND()-1)</f>
        <v>0.30165032315404727</v>
      </c>
      <c r="B1669" s="2" t="e">
        <f t="shared" ca="1" si="34"/>
        <v>#N/A</v>
      </c>
      <c r="C1669" s="1">
        <v>1669</v>
      </c>
      <c r="D1669" s="1" t="s">
        <v>3289</v>
      </c>
      <c r="E1669" s="1" t="s">
        <v>3290</v>
      </c>
    </row>
    <row r="1670" spans="1:5" ht="25">
      <c r="A1670" s="2">
        <f ca="1">IF(COUNTIF($AA$1:$BXX$24,1670) = 0,RAND(),RAND()-1)</f>
        <v>0.14226191869862426</v>
      </c>
      <c r="B1670" s="2" t="e">
        <f t="shared" ca="1" si="34"/>
        <v>#N/A</v>
      </c>
      <c r="C1670" s="1">
        <v>1670</v>
      </c>
      <c r="D1670" s="1" t="s">
        <v>3291</v>
      </c>
      <c r="E1670" s="1" t="s">
        <v>3292</v>
      </c>
    </row>
    <row r="1671" spans="1:5" ht="25">
      <c r="A1671" s="2">
        <f ca="1">IF(COUNTIF($AA$1:$BXX$24,1671) = 0,RAND(),RAND()-1)</f>
        <v>0.24109801701616629</v>
      </c>
      <c r="B1671" s="2" t="e">
        <f t="shared" ca="1" si="34"/>
        <v>#N/A</v>
      </c>
      <c r="C1671" s="1">
        <v>1671</v>
      </c>
      <c r="D1671" s="1" t="s">
        <v>3293</v>
      </c>
      <c r="E1671" s="1" t="s">
        <v>3294</v>
      </c>
    </row>
    <row r="1672" spans="1:5" ht="25">
      <c r="A1672" s="2">
        <f ca="1">IF(COUNTIF($AA$1:$BXX$24,1672) = 0,RAND(),RAND()-1)</f>
        <v>0.24247626101566422</v>
      </c>
      <c r="B1672" s="2" t="e">
        <f t="shared" ca="1" si="34"/>
        <v>#N/A</v>
      </c>
      <c r="C1672" s="1">
        <v>1672</v>
      </c>
      <c r="D1672" s="1" t="s">
        <v>3295</v>
      </c>
      <c r="E1672" s="1" t="s">
        <v>3296</v>
      </c>
    </row>
    <row r="1673" spans="1:5" ht="25">
      <c r="A1673" s="2">
        <f ca="1">IF(COUNTIF($AA$1:$BXX$24,1673) = 0,RAND(),RAND()-1)</f>
        <v>0.10643197071289445</v>
      </c>
      <c r="B1673" s="2" t="e">
        <f t="shared" ca="1" si="34"/>
        <v>#N/A</v>
      </c>
      <c r="C1673" s="1">
        <v>1673</v>
      </c>
      <c r="D1673" s="1" t="s">
        <v>3297</v>
      </c>
      <c r="E1673" s="1" t="s">
        <v>3298</v>
      </c>
    </row>
    <row r="1674" spans="1:5" ht="25">
      <c r="A1674" s="2">
        <f ca="1">IF(COUNTIF($AA$1:$BXX$24,1674) = 0,RAND(),RAND()-1)</f>
        <v>0.11847051066998215</v>
      </c>
      <c r="B1674" s="2" t="e">
        <f t="shared" ca="1" si="34"/>
        <v>#N/A</v>
      </c>
      <c r="C1674" s="1">
        <v>1674</v>
      </c>
      <c r="D1674" s="1" t="s">
        <v>3299</v>
      </c>
      <c r="E1674" s="1" t="s">
        <v>3300</v>
      </c>
    </row>
    <row r="1675" spans="1:5" ht="25">
      <c r="A1675" s="2">
        <f ca="1">IF(COUNTIF($AA$1:$BXX$24,1675) = 0,RAND(),RAND()-1)</f>
        <v>0.41354863095257477</v>
      </c>
      <c r="B1675" s="2" t="e">
        <f t="shared" ca="1" si="34"/>
        <v>#N/A</v>
      </c>
      <c r="C1675" s="1">
        <v>1675</v>
      </c>
      <c r="D1675" s="1" t="s">
        <v>3301</v>
      </c>
      <c r="E1675" s="1" t="s">
        <v>3302</v>
      </c>
    </row>
    <row r="1676" spans="1:5" ht="25">
      <c r="A1676" s="2">
        <f ca="1">IF(COUNTIF($AA$1:$BXX$24,1676) = 0,RAND(),RAND()-1)</f>
        <v>0.75183129853060271</v>
      </c>
      <c r="B1676" s="2" t="e">
        <f t="shared" ca="1" si="34"/>
        <v>#N/A</v>
      </c>
      <c r="C1676" s="1">
        <v>1676</v>
      </c>
      <c r="D1676" s="1" t="s">
        <v>3303</v>
      </c>
      <c r="E1676" s="1" t="s">
        <v>3304</v>
      </c>
    </row>
    <row r="1677" spans="1:5" ht="25">
      <c r="A1677" s="2">
        <f ca="1">IF(COUNTIF($AA$1:$BXX$24,1677) = 0,RAND(),RAND()-1)</f>
        <v>0.13252086641339633</v>
      </c>
      <c r="B1677" s="2" t="e">
        <f t="shared" ca="1" si="34"/>
        <v>#N/A</v>
      </c>
      <c r="C1677" s="1">
        <v>1677</v>
      </c>
      <c r="D1677" s="1" t="s">
        <v>3305</v>
      </c>
      <c r="E1677" s="1" t="s">
        <v>3306</v>
      </c>
    </row>
    <row r="1678" spans="1:5" ht="25">
      <c r="A1678" s="2">
        <f ca="1">IF(COUNTIF($AA$1:$BXX$24,1678) = 0,RAND(),RAND()-1)</f>
        <v>0.15387374434748646</v>
      </c>
      <c r="B1678" s="2" t="e">
        <f t="shared" ca="1" si="34"/>
        <v>#N/A</v>
      </c>
      <c r="C1678" s="1">
        <v>1678</v>
      </c>
      <c r="D1678" s="1" t="s">
        <v>3307</v>
      </c>
      <c r="E1678" s="1" t="s">
        <v>3308</v>
      </c>
    </row>
    <row r="1679" spans="1:5" ht="25">
      <c r="A1679" s="2">
        <f ca="1">IF(COUNTIF($AA$1:$BXX$24,1679) = 0,RAND(),RAND()-1)</f>
        <v>0.14851043056017543</v>
      </c>
      <c r="B1679" s="2" t="e">
        <f t="shared" ca="1" si="34"/>
        <v>#N/A</v>
      </c>
      <c r="C1679" s="1">
        <v>1679</v>
      </c>
      <c r="D1679" s="1" t="s">
        <v>3309</v>
      </c>
      <c r="E1679" s="1" t="s">
        <v>3310</v>
      </c>
    </row>
    <row r="1680" spans="1:5" ht="25">
      <c r="A1680" s="2">
        <f ca="1">IF(COUNTIF($AA$1:$BXX$24,1680) = 0,RAND(),RAND()-1)</f>
        <v>7.3111212389821989E-2</v>
      </c>
      <c r="B1680" s="2" t="e">
        <f t="shared" ca="1" si="34"/>
        <v>#N/A</v>
      </c>
      <c r="C1680" s="1">
        <v>1680</v>
      </c>
      <c r="D1680" s="1" t="s">
        <v>3311</v>
      </c>
      <c r="E1680" s="1" t="s">
        <v>3312</v>
      </c>
    </row>
    <row r="1681" spans="1:5" ht="25">
      <c r="A1681" s="2">
        <f ca="1">IF(COUNTIF($AA$1:$BXX$24,1681) = 0,RAND(),RAND()-1)</f>
        <v>0.29386350571916486</v>
      </c>
      <c r="B1681" s="2" t="e">
        <f t="shared" ca="1" si="34"/>
        <v>#N/A</v>
      </c>
      <c r="C1681" s="1">
        <v>1681</v>
      </c>
      <c r="D1681" s="1" t="s">
        <v>3313</v>
      </c>
      <c r="E1681" s="1" t="s">
        <v>3314</v>
      </c>
    </row>
    <row r="1682" spans="1:5" ht="25">
      <c r="A1682" s="2">
        <f ca="1">IF(COUNTIF($AA$1:$BXX$24,1682) = 0,RAND(),RAND()-1)</f>
        <v>0.90650213391417289</v>
      </c>
      <c r="B1682" s="2" t="e">
        <f t="shared" ca="1" si="34"/>
        <v>#N/A</v>
      </c>
      <c r="C1682" s="1">
        <v>1682</v>
      </c>
      <c r="D1682" s="1" t="s">
        <v>3315</v>
      </c>
      <c r="E1682" s="1" t="s">
        <v>3316</v>
      </c>
    </row>
    <row r="1683" spans="1:5" ht="25">
      <c r="A1683" s="2">
        <f ca="1">IF(COUNTIF($AA$1:$BXX$24,1683) = 0,RAND(),RAND()-1)</f>
        <v>0.54433577384529563</v>
      </c>
      <c r="B1683" s="2" t="e">
        <f t="shared" ca="1" si="34"/>
        <v>#N/A</v>
      </c>
      <c r="C1683" s="1">
        <v>1683</v>
      </c>
      <c r="D1683" s="1" t="s">
        <v>3317</v>
      </c>
      <c r="E1683" s="1" t="s">
        <v>3318</v>
      </c>
    </row>
    <row r="1684" spans="1:5" ht="25">
      <c r="A1684" s="2">
        <f ca="1">IF(COUNTIF($AA$1:$BXX$24,1684) = 0,RAND(),RAND()-1)</f>
        <v>0.58110542554466482</v>
      </c>
      <c r="B1684" s="2" t="e">
        <f t="shared" ca="1" si="34"/>
        <v>#N/A</v>
      </c>
      <c r="C1684" s="1">
        <v>1684</v>
      </c>
      <c r="D1684" s="1" t="s">
        <v>3319</v>
      </c>
      <c r="E1684" s="1" t="s">
        <v>3320</v>
      </c>
    </row>
    <row r="1685" spans="1:5" ht="25">
      <c r="A1685" s="2">
        <f ca="1">IF(COUNTIF($AA$1:$BXX$24,1685) = 0,RAND(),RAND()-1)</f>
        <v>0.57334765322435466</v>
      </c>
      <c r="B1685" s="2" t="e">
        <f t="shared" ca="1" si="34"/>
        <v>#N/A</v>
      </c>
      <c r="C1685" s="1">
        <v>1685</v>
      </c>
      <c r="D1685" s="1" t="s">
        <v>3321</v>
      </c>
      <c r="E1685" s="1" t="s">
        <v>3322</v>
      </c>
    </row>
    <row r="1686" spans="1:5" ht="25">
      <c r="A1686" s="2">
        <f ca="1">IF(COUNTIF($AA$1:$BXX$24,1686) = 0,RAND(),RAND()-1)</f>
        <v>0.30779483883288339</v>
      </c>
      <c r="B1686" s="2" t="e">
        <f t="shared" ca="1" si="34"/>
        <v>#N/A</v>
      </c>
      <c r="C1686" s="1">
        <v>1686</v>
      </c>
      <c r="D1686" s="1" t="s">
        <v>3323</v>
      </c>
      <c r="E1686" s="1" t="s">
        <v>3324</v>
      </c>
    </row>
    <row r="1687" spans="1:5" ht="25">
      <c r="A1687" s="2">
        <f ca="1">IF(COUNTIF($AA$1:$BXX$24,1687) = 0,RAND(),RAND()-1)</f>
        <v>0.37618349030906761</v>
      </c>
      <c r="B1687" s="2" t="e">
        <f t="shared" ca="1" si="34"/>
        <v>#N/A</v>
      </c>
      <c r="C1687" s="1">
        <v>1687</v>
      </c>
      <c r="D1687" s="1" t="s">
        <v>3325</v>
      </c>
      <c r="E1687" s="1" t="s">
        <v>3326</v>
      </c>
    </row>
    <row r="1688" spans="1:5" ht="25">
      <c r="A1688" s="2">
        <f ca="1">IF(COUNTIF($AA$1:$BXX$24,1688) = 0,RAND(),RAND()-1)</f>
        <v>0.5786505777230373</v>
      </c>
      <c r="B1688" s="2" t="e">
        <f t="shared" ca="1" si="34"/>
        <v>#N/A</v>
      </c>
      <c r="C1688" s="1">
        <v>1688</v>
      </c>
      <c r="D1688" s="1" t="s">
        <v>3327</v>
      </c>
      <c r="E1688" s="1" t="s">
        <v>3328</v>
      </c>
    </row>
    <row r="1689" spans="1:5" ht="25">
      <c r="A1689" s="2">
        <f ca="1">IF(COUNTIF($AA$1:$BXX$24,1689) = 0,RAND(),RAND()-1)</f>
        <v>0.49957759871540908</v>
      </c>
      <c r="B1689" s="2" t="e">
        <f t="shared" ca="1" si="34"/>
        <v>#N/A</v>
      </c>
      <c r="C1689" s="1">
        <v>1689</v>
      </c>
      <c r="D1689" s="1" t="s">
        <v>3329</v>
      </c>
      <c r="E1689" s="1" t="s">
        <v>3330</v>
      </c>
    </row>
    <row r="1690" spans="1:5" ht="25">
      <c r="A1690" s="2">
        <f ca="1">IF(COUNTIF($AA$1:$BXX$24,1690) = 0,RAND(),RAND()-1)</f>
        <v>0.500721432164008</v>
      </c>
      <c r="B1690" s="2" t="e">
        <f t="shared" ca="1" si="34"/>
        <v>#N/A</v>
      </c>
      <c r="C1690" s="1">
        <v>1690</v>
      </c>
      <c r="D1690" s="1" t="s">
        <v>3331</v>
      </c>
      <c r="E1690" s="1" t="s">
        <v>3332</v>
      </c>
    </row>
    <row r="1691" spans="1:5" ht="25">
      <c r="A1691" s="2">
        <f ca="1">IF(COUNTIF($AA$1:$BXX$24,1691) = 0,RAND(),RAND()-1)</f>
        <v>0.46020537327246835</v>
      </c>
      <c r="B1691" s="2" t="e">
        <f t="shared" ca="1" si="34"/>
        <v>#N/A</v>
      </c>
      <c r="C1691" s="1">
        <v>1691</v>
      </c>
      <c r="D1691" s="1" t="s">
        <v>3333</v>
      </c>
      <c r="E1691" s="1" t="s">
        <v>3334</v>
      </c>
    </row>
    <row r="1692" spans="1:5" ht="25">
      <c r="A1692" s="2">
        <f ca="1">IF(COUNTIF($AA$1:$BXX$24,1692) = 0,RAND(),RAND()-1)</f>
        <v>0.7698878678160469</v>
      </c>
      <c r="B1692" s="2" t="e">
        <f t="shared" ca="1" si="34"/>
        <v>#N/A</v>
      </c>
      <c r="C1692" s="1">
        <v>1692</v>
      </c>
      <c r="D1692" s="1" t="s">
        <v>3335</v>
      </c>
      <c r="E1692" s="1" t="s">
        <v>3336</v>
      </c>
    </row>
    <row r="1693" spans="1:5" ht="25">
      <c r="A1693" s="2">
        <f ca="1">IF(COUNTIF($AA$1:$BXX$24,1693) = 0,RAND(),RAND()-1)</f>
        <v>0.49467169745107153</v>
      </c>
      <c r="B1693" s="2" t="e">
        <f t="shared" ca="1" si="34"/>
        <v>#N/A</v>
      </c>
      <c r="C1693" s="1">
        <v>1693</v>
      </c>
      <c r="D1693" s="1" t="s">
        <v>3337</v>
      </c>
      <c r="E1693" s="1" t="s">
        <v>3338</v>
      </c>
    </row>
    <row r="1694" spans="1:5" ht="25">
      <c r="A1694" s="2">
        <f ca="1">IF(COUNTIF($AA$1:$BXX$24,1694) = 0,RAND(),RAND()-1)</f>
        <v>0.70197078992170003</v>
      </c>
      <c r="B1694" s="2" t="e">
        <f t="shared" ca="1" si="34"/>
        <v>#N/A</v>
      </c>
      <c r="C1694" s="1">
        <v>1694</v>
      </c>
      <c r="D1694" s="1" t="s">
        <v>3339</v>
      </c>
      <c r="E1694" s="1" t="s">
        <v>3340</v>
      </c>
    </row>
    <row r="1695" spans="1:5" ht="25">
      <c r="A1695" s="2">
        <f ca="1">IF(COUNTIF($AA$1:$BXX$24,1695) = 0,RAND(),RAND()-1)</f>
        <v>0.22108083600306261</v>
      </c>
      <c r="B1695" s="2" t="e">
        <f t="shared" ca="1" si="34"/>
        <v>#N/A</v>
      </c>
      <c r="C1695" s="1">
        <v>1695</v>
      </c>
      <c r="D1695" s="1" t="s">
        <v>3341</v>
      </c>
      <c r="E1695" s="1" t="s">
        <v>3342</v>
      </c>
    </row>
    <row r="1696" spans="1:5" ht="25">
      <c r="A1696" s="2">
        <f ca="1">IF(COUNTIF($AA$1:$BXX$24,1696) = 0,RAND(),RAND()-1)</f>
        <v>0.42390940143822975</v>
      </c>
      <c r="B1696" s="2" t="e">
        <f t="shared" ca="1" si="34"/>
        <v>#N/A</v>
      </c>
      <c r="C1696" s="1">
        <v>1696</v>
      </c>
      <c r="D1696" s="1" t="s">
        <v>3343</v>
      </c>
      <c r="E1696" s="1" t="s">
        <v>3344</v>
      </c>
    </row>
    <row r="1697" spans="1:5" ht="25">
      <c r="A1697" s="2">
        <f ca="1">IF(COUNTIF($AA$1:$BXX$24,1697) = 0,RAND(),RAND()-1)</f>
        <v>9.0979983428248201E-2</v>
      </c>
      <c r="B1697" s="2" t="e">
        <f t="shared" ca="1" si="34"/>
        <v>#N/A</v>
      </c>
      <c r="C1697" s="1">
        <v>1697</v>
      </c>
      <c r="D1697" s="1" t="s">
        <v>3345</v>
      </c>
      <c r="E1697" s="1" t="s">
        <v>3346</v>
      </c>
    </row>
    <row r="1698" spans="1:5" ht="25">
      <c r="A1698" s="2">
        <f ca="1">IF(COUNTIF($AA$1:$BXX$24,1698) = 0,RAND(),RAND()-1)</f>
        <v>0.42193219150054484</v>
      </c>
      <c r="B1698" s="2" t="e">
        <f t="shared" ca="1" si="34"/>
        <v>#N/A</v>
      </c>
      <c r="C1698" s="1">
        <v>1698</v>
      </c>
      <c r="D1698" s="1" t="s">
        <v>3347</v>
      </c>
      <c r="E1698" s="1" t="s">
        <v>3348</v>
      </c>
    </row>
    <row r="1699" spans="1:5" ht="25">
      <c r="A1699" s="2">
        <f ca="1">IF(COUNTIF($AA$1:$BXX$24,1699) = 0,RAND(),RAND()-1)</f>
        <v>0.42843916919932523</v>
      </c>
      <c r="B1699" s="2" t="e">
        <f t="shared" ca="1" si="34"/>
        <v>#N/A</v>
      </c>
      <c r="C1699" s="1">
        <v>1699</v>
      </c>
      <c r="D1699" s="1" t="s">
        <v>3349</v>
      </c>
      <c r="E1699" s="1" t="s">
        <v>3350</v>
      </c>
    </row>
    <row r="1700" spans="1:5" ht="25">
      <c r="A1700" s="2">
        <f ca="1">IF(COUNTIF($AA$1:$BXX$24,1700) = 0,RAND(),RAND()-1)</f>
        <v>0.5935085183681037</v>
      </c>
      <c r="B1700" s="2" t="e">
        <f t="shared" ca="1" si="34"/>
        <v>#N/A</v>
      </c>
      <c r="C1700" s="1">
        <v>1700</v>
      </c>
      <c r="D1700" s="1" t="s">
        <v>3351</v>
      </c>
      <c r="E1700" s="1" t="s">
        <v>3352</v>
      </c>
    </row>
    <row r="1701" spans="1:5" ht="25">
      <c r="A1701" s="2">
        <f ca="1">IF(COUNTIF($AA$1:$BXX$24,1701) = 0,RAND(),RAND()-1)</f>
        <v>0.35243208773051715</v>
      </c>
      <c r="B1701" s="2" t="e">
        <f t="shared" ca="1" si="34"/>
        <v>#N/A</v>
      </c>
      <c r="C1701" s="1">
        <v>1701</v>
      </c>
      <c r="D1701" s="1" t="s">
        <v>3353</v>
      </c>
      <c r="E1701" s="1" t="s">
        <v>2798</v>
      </c>
    </row>
    <row r="1702" spans="1:5" ht="25">
      <c r="A1702" s="2">
        <f ca="1">IF(COUNTIF($AA$1:$BXX$24,1702) = 0,RAND(),RAND()-1)</f>
        <v>0.69580133307100089</v>
      </c>
      <c r="B1702" s="2" t="e">
        <f t="shared" ca="1" si="34"/>
        <v>#N/A</v>
      </c>
      <c r="C1702" s="1">
        <v>1702</v>
      </c>
      <c r="D1702" s="1" t="s">
        <v>3354</v>
      </c>
      <c r="E1702" s="1" t="s">
        <v>3355</v>
      </c>
    </row>
    <row r="1703" spans="1:5" ht="25">
      <c r="A1703" s="2">
        <f ca="1">IF(COUNTIF($AA$1:$BXX$24,1703) = 0,RAND(),RAND()-1)</f>
        <v>0.83061953924209952</v>
      </c>
      <c r="B1703" s="2" t="e">
        <f t="shared" ca="1" si="34"/>
        <v>#N/A</v>
      </c>
      <c r="C1703" s="1">
        <v>1703</v>
      </c>
      <c r="D1703" s="1" t="s">
        <v>3356</v>
      </c>
      <c r="E1703" s="1" t="s">
        <v>3357</v>
      </c>
    </row>
    <row r="1704" spans="1:5" ht="25">
      <c r="A1704" s="2">
        <f ca="1">IF(COUNTIF($AA$1:$BXX$24,1704) = 0,RAND(),RAND()-1)</f>
        <v>0.78568932534683089</v>
      </c>
      <c r="B1704" s="2" t="e">
        <f t="shared" ca="1" si="34"/>
        <v>#N/A</v>
      </c>
      <c r="C1704" s="1">
        <v>1704</v>
      </c>
      <c r="D1704" s="1" t="s">
        <v>3358</v>
      </c>
      <c r="E1704" s="1" t="s">
        <v>3359</v>
      </c>
    </row>
    <row r="1705" spans="1:5" ht="25">
      <c r="A1705" s="2">
        <f ca="1">IF(COUNTIF($AA$1:$BXX$24,1705) = 0,RAND(),RAND()-1)</f>
        <v>0.93446232584421385</v>
      </c>
      <c r="B1705" s="2" t="e">
        <f t="shared" ca="1" si="34"/>
        <v>#N/A</v>
      </c>
      <c r="C1705" s="1">
        <v>1705</v>
      </c>
      <c r="D1705" s="1" t="s">
        <v>3360</v>
      </c>
      <c r="E1705" s="1" t="s">
        <v>3361</v>
      </c>
    </row>
    <row r="1706" spans="1:5" ht="25">
      <c r="A1706" s="2">
        <f ca="1">IF(COUNTIF($AA$1:$BXX$24,1706) = 0,RAND(),RAND()-1)</f>
        <v>5.9489247626336672E-2</v>
      </c>
      <c r="B1706" s="2" t="e">
        <f t="shared" ca="1" si="34"/>
        <v>#N/A</v>
      </c>
      <c r="C1706" s="1">
        <v>1706</v>
      </c>
      <c r="D1706" s="1" t="s">
        <v>3362</v>
      </c>
      <c r="E1706" s="1" t="s">
        <v>3363</v>
      </c>
    </row>
    <row r="1707" spans="1:5" ht="25">
      <c r="A1707" s="2">
        <f ca="1">IF(COUNTIF($AA$1:$BXX$24,1707) = 0,RAND(),RAND()-1)</f>
        <v>0.55270361910351851</v>
      </c>
      <c r="B1707" s="2" t="e">
        <f t="shared" ca="1" si="34"/>
        <v>#N/A</v>
      </c>
      <c r="C1707" s="1">
        <v>1707</v>
      </c>
      <c r="D1707" s="1" t="s">
        <v>3364</v>
      </c>
      <c r="E1707" s="1" t="s">
        <v>3365</v>
      </c>
    </row>
    <row r="1708" spans="1:5" ht="25">
      <c r="A1708" s="2">
        <f ca="1">IF(COUNTIF($AA$1:$BXX$24,1708) = 0,RAND(),RAND()-1)</f>
        <v>9.882698505786669E-2</v>
      </c>
      <c r="B1708" s="2" t="e">
        <f t="shared" ca="1" si="34"/>
        <v>#N/A</v>
      </c>
      <c r="C1708" s="1">
        <v>1708</v>
      </c>
      <c r="D1708" s="1" t="s">
        <v>3366</v>
      </c>
      <c r="E1708" s="1" t="s">
        <v>3367</v>
      </c>
    </row>
    <row r="1709" spans="1:5" ht="25">
      <c r="A1709" s="2">
        <f ca="1">IF(COUNTIF($AA$1:$BXX$24,1709) = 0,RAND(),RAND()-1)</f>
        <v>0.35758050440724354</v>
      </c>
      <c r="B1709" s="2" t="e">
        <f t="shared" ca="1" si="34"/>
        <v>#N/A</v>
      </c>
      <c r="C1709" s="1">
        <v>1709</v>
      </c>
      <c r="D1709" s="1" t="s">
        <v>3368</v>
      </c>
      <c r="E1709" s="1" t="s">
        <v>3369</v>
      </c>
    </row>
    <row r="1710" spans="1:5" ht="25">
      <c r="A1710" s="2">
        <f ca="1">IF(COUNTIF($AA$1:$BXX$24,1710) = 0,RAND(),RAND()-1)</f>
        <v>0.60189083281892308</v>
      </c>
      <c r="B1710" s="2" t="e">
        <f t="shared" ca="1" si="34"/>
        <v>#N/A</v>
      </c>
      <c r="C1710" s="1">
        <v>1710</v>
      </c>
      <c r="D1710" s="1" t="s">
        <v>3370</v>
      </c>
      <c r="E1710" s="1" t="s">
        <v>3371</v>
      </c>
    </row>
    <row r="1711" spans="1:5" ht="25">
      <c r="A1711" s="2">
        <f ca="1">IF(COUNTIF($AA$1:$BXX$24,1711) = 0,RAND(),RAND()-1)</f>
        <v>9.9035838552191557E-2</v>
      </c>
      <c r="B1711" s="2" t="e">
        <f t="shared" ca="1" si="34"/>
        <v>#N/A</v>
      </c>
      <c r="C1711" s="1">
        <v>1711</v>
      </c>
      <c r="D1711" s="1" t="s">
        <v>3372</v>
      </c>
      <c r="E1711" s="1" t="s">
        <v>3373</v>
      </c>
    </row>
    <row r="1712" spans="1:5" ht="25">
      <c r="A1712" s="2">
        <f ca="1">IF(COUNTIF($AA$1:$BXX$24,1712) = 0,RAND(),RAND()-1)</f>
        <v>0.51594478426458701</v>
      </c>
      <c r="B1712" s="2" t="e">
        <f t="shared" ca="1" si="34"/>
        <v>#N/A</v>
      </c>
      <c r="C1712" s="1">
        <v>1712</v>
      </c>
      <c r="D1712" s="1" t="s">
        <v>3374</v>
      </c>
      <c r="E1712" s="1" t="s">
        <v>2392</v>
      </c>
    </row>
    <row r="1713" spans="1:5" ht="25">
      <c r="A1713" s="2">
        <f ca="1">IF(COUNTIF($AA$1:$BXX$24,1713) = 0,RAND(),RAND()-1)</f>
        <v>0.58123739380673101</v>
      </c>
      <c r="B1713" s="2" t="e">
        <f t="shared" ca="1" si="34"/>
        <v>#N/A</v>
      </c>
      <c r="C1713" s="1">
        <v>1713</v>
      </c>
      <c r="D1713" s="1" t="s">
        <v>3375</v>
      </c>
      <c r="E1713" s="1" t="s">
        <v>3376</v>
      </c>
    </row>
    <row r="1714" spans="1:5" ht="25">
      <c r="A1714" s="2">
        <f ca="1">IF(COUNTIF($AA$1:$BXX$24,1714) = 0,RAND(),RAND()-1)</f>
        <v>0.93083058259453144</v>
      </c>
      <c r="B1714" s="2" t="e">
        <f t="shared" ca="1" si="34"/>
        <v>#N/A</v>
      </c>
      <c r="C1714" s="1">
        <v>1714</v>
      </c>
      <c r="D1714" s="1" t="s">
        <v>3377</v>
      </c>
      <c r="E1714" s="1" t="s">
        <v>3378</v>
      </c>
    </row>
    <row r="1715" spans="1:5" ht="25">
      <c r="A1715" s="2">
        <f ca="1">IF(COUNTIF($AA$1:$BXX$24,1715) = 0,RAND(),RAND()-1)</f>
        <v>0.79025335556234022</v>
      </c>
      <c r="B1715" s="2" t="e">
        <f t="shared" ca="1" si="34"/>
        <v>#N/A</v>
      </c>
      <c r="C1715" s="1">
        <v>1715</v>
      </c>
      <c r="D1715" s="1" t="s">
        <v>3379</v>
      </c>
      <c r="E1715" s="1" t="s">
        <v>3380</v>
      </c>
    </row>
    <row r="1716" spans="1:5" ht="25">
      <c r="A1716" s="2">
        <f ca="1">IF(COUNTIF($AA$1:$BXX$24,1716) = 0,RAND(),RAND()-1)</f>
        <v>4.2191925148178822E-2</v>
      </c>
      <c r="B1716" s="2" t="e">
        <f t="shared" ca="1" si="34"/>
        <v>#N/A</v>
      </c>
      <c r="C1716" s="1">
        <v>1716</v>
      </c>
      <c r="D1716" s="1" t="s">
        <v>3381</v>
      </c>
      <c r="E1716" s="1" t="s">
        <v>3382</v>
      </c>
    </row>
    <row r="1717" spans="1:5" ht="25">
      <c r="A1717" s="2">
        <f ca="1">IF(COUNTIF($AA$1:$BXX$24,1717) = 0,RAND(),RAND()-1)</f>
        <v>0.98655187330162253</v>
      </c>
      <c r="B1717" s="2" t="e">
        <f t="shared" ca="1" si="34"/>
        <v>#N/A</v>
      </c>
      <c r="C1717" s="1">
        <v>1717</v>
      </c>
      <c r="D1717" s="1" t="s">
        <v>3383</v>
      </c>
      <c r="E1717" s="1" t="s">
        <v>3384</v>
      </c>
    </row>
    <row r="1718" spans="1:5" ht="25">
      <c r="A1718" s="2">
        <f ca="1">IF(COUNTIF($AA$1:$BXX$24,1718) = 0,RAND(),RAND()-1)</f>
        <v>0.13031747394218973</v>
      </c>
      <c r="B1718" s="2" t="e">
        <f t="shared" ca="1" si="34"/>
        <v>#N/A</v>
      </c>
      <c r="C1718" s="1">
        <v>1718</v>
      </c>
      <c r="D1718" s="1" t="s">
        <v>3385</v>
      </c>
      <c r="E1718" s="1" t="s">
        <v>3386</v>
      </c>
    </row>
    <row r="1719" spans="1:5" ht="25">
      <c r="A1719" s="2">
        <f ca="1">IF(COUNTIF($AA$1:$BXX$24,1719) = 0,RAND(),RAND()-1)</f>
        <v>0.20417775237453706</v>
      </c>
      <c r="B1719" s="2" t="e">
        <f t="shared" ca="1" si="34"/>
        <v>#N/A</v>
      </c>
      <c r="C1719" s="1">
        <v>1719</v>
      </c>
      <c r="D1719" s="1" t="s">
        <v>3387</v>
      </c>
      <c r="E1719" s="1" t="s">
        <v>808</v>
      </c>
    </row>
    <row r="1720" spans="1:5" ht="25">
      <c r="A1720" s="2">
        <f ca="1">IF(COUNTIF($AA$1:$BXX$24,1720) = 0,RAND(),RAND()-1)</f>
        <v>0.67672339734110909</v>
      </c>
      <c r="B1720" s="2" t="e">
        <f t="shared" ca="1" si="34"/>
        <v>#N/A</v>
      </c>
      <c r="C1720" s="1">
        <v>1720</v>
      </c>
      <c r="D1720" s="1" t="s">
        <v>3388</v>
      </c>
      <c r="E1720" s="1" t="s">
        <v>3389</v>
      </c>
    </row>
    <row r="1721" spans="1:5" ht="25">
      <c r="A1721" s="2">
        <f ca="1">IF(COUNTIF($AA$1:$BXX$24,1721) = 0,RAND(),RAND()-1)</f>
        <v>0.17214242892923137</v>
      </c>
      <c r="B1721" s="2" t="e">
        <f t="shared" ca="1" si="34"/>
        <v>#N/A</v>
      </c>
      <c r="C1721" s="1">
        <v>1721</v>
      </c>
      <c r="D1721" s="1" t="s">
        <v>3390</v>
      </c>
      <c r="E1721" s="1" t="s">
        <v>3391</v>
      </c>
    </row>
    <row r="1722" spans="1:5" ht="25">
      <c r="A1722" s="2">
        <f ca="1">IF(COUNTIF($AA$1:$BXX$24,1722) = 0,RAND(),RAND()-1)</f>
        <v>0.59854505471090791</v>
      </c>
      <c r="B1722" s="2" t="e">
        <f t="shared" ca="1" si="34"/>
        <v>#N/A</v>
      </c>
      <c r="C1722" s="1">
        <v>1722</v>
      </c>
      <c r="D1722" s="1" t="s">
        <v>3392</v>
      </c>
      <c r="E1722" s="1" t="s">
        <v>3393</v>
      </c>
    </row>
    <row r="1723" spans="1:5" ht="25">
      <c r="A1723" s="2">
        <f ca="1">IF(COUNTIF($AA$1:$BXX$24,1723) = 0,RAND(),RAND()-1)</f>
        <v>0.46065548525505928</v>
      </c>
      <c r="B1723" s="2" t="e">
        <f t="shared" ca="1" si="34"/>
        <v>#N/A</v>
      </c>
      <c r="C1723" s="1">
        <v>1723</v>
      </c>
      <c r="D1723" s="1" t="s">
        <v>3394</v>
      </c>
      <c r="E1723" s="1" t="s">
        <v>3395</v>
      </c>
    </row>
    <row r="1724" spans="1:5" ht="25">
      <c r="A1724" s="2">
        <f ca="1">IF(COUNTIF($AA$1:$BXX$24,1724) = 0,RAND(),RAND()-1)</f>
        <v>0.72479704661562971</v>
      </c>
      <c r="B1724" s="2" t="e">
        <f t="shared" ca="1" si="34"/>
        <v>#N/A</v>
      </c>
      <c r="C1724" s="1">
        <v>1724</v>
      </c>
      <c r="D1724" s="1" t="s">
        <v>3396</v>
      </c>
      <c r="E1724" s="1" t="s">
        <v>3397</v>
      </c>
    </row>
    <row r="1725" spans="1:5" ht="25">
      <c r="A1725" s="2">
        <f ca="1">IF(COUNTIF($AA$1:$BXX$24,1725) = 0,RAND(),RAND()-1)</f>
        <v>2.8137471495194633E-2</v>
      </c>
      <c r="B1725" s="2" t="e">
        <f t="shared" ca="1" si="34"/>
        <v>#N/A</v>
      </c>
      <c r="C1725" s="1">
        <v>1725</v>
      </c>
      <c r="D1725" s="1" t="s">
        <v>3398</v>
      </c>
      <c r="E1725" s="1" t="s">
        <v>3399</v>
      </c>
    </row>
    <row r="1726" spans="1:5" ht="25">
      <c r="A1726" s="2">
        <f ca="1">IF(COUNTIF($AA$1:$BXX$24,1726) = 0,RAND(),RAND()-1)</f>
        <v>0.10692703713865714</v>
      </c>
      <c r="B1726" s="2" t="e">
        <f t="shared" ca="1" si="34"/>
        <v>#N/A</v>
      </c>
      <c r="C1726" s="1">
        <v>1726</v>
      </c>
      <c r="D1726" s="1" t="s">
        <v>3400</v>
      </c>
      <c r="E1726" s="1" t="s">
        <v>3401</v>
      </c>
    </row>
    <row r="1727" spans="1:5" ht="25">
      <c r="A1727" s="2">
        <f ca="1">IF(COUNTIF($AA$1:$BXX$24,1727) = 0,RAND(),RAND()-1)</f>
        <v>0.51326145615635632</v>
      </c>
      <c r="B1727" s="2" t="e">
        <f t="shared" ca="1" si="34"/>
        <v>#N/A</v>
      </c>
      <c r="C1727" s="1">
        <v>1727</v>
      </c>
      <c r="D1727" s="1" t="s">
        <v>3402</v>
      </c>
      <c r="E1727" s="1" t="s">
        <v>3403</v>
      </c>
    </row>
    <row r="1728" spans="1:5" ht="25">
      <c r="A1728" s="2">
        <f ca="1">IF(COUNTIF($AA$1:$BXX$24,1728) = 0,RAND(),RAND()-1)</f>
        <v>0.8548961083444957</v>
      </c>
      <c r="B1728" s="2" t="e">
        <f t="shared" ca="1" si="34"/>
        <v>#N/A</v>
      </c>
      <c r="C1728" s="1">
        <v>1728</v>
      </c>
      <c r="D1728" s="1" t="s">
        <v>3404</v>
      </c>
      <c r="E1728" s="1" t="s">
        <v>3405</v>
      </c>
    </row>
    <row r="1729" spans="1:5" ht="25">
      <c r="A1729" s="2">
        <f ca="1">IF(COUNTIF($AA$1:$BXX$24,1729) = 0,RAND(),RAND()-1)</f>
        <v>0.83322859655481818</v>
      </c>
      <c r="B1729" s="2" t="e">
        <f t="shared" ref="B1729:B1792" ca="1" si="35">RANK(A1729,OFFSET($A$1,$G$1-1,0,$G$2-$G$1+1))</f>
        <v>#N/A</v>
      </c>
      <c r="C1729" s="1">
        <v>1729</v>
      </c>
      <c r="D1729" s="1" t="s">
        <v>3406</v>
      </c>
      <c r="E1729" s="1" t="s">
        <v>2384</v>
      </c>
    </row>
    <row r="1730" spans="1:5" ht="25">
      <c r="A1730" s="2">
        <f ca="1">IF(COUNTIF($AA$1:$BXX$24,1730) = 0,RAND(),RAND()-1)</f>
        <v>0.20456858054453675</v>
      </c>
      <c r="B1730" s="2" t="e">
        <f t="shared" ca="1" si="35"/>
        <v>#N/A</v>
      </c>
      <c r="C1730" s="1">
        <v>1730</v>
      </c>
      <c r="D1730" s="1" t="s">
        <v>3407</v>
      </c>
      <c r="E1730" s="1" t="s">
        <v>3408</v>
      </c>
    </row>
    <row r="1731" spans="1:5" ht="25">
      <c r="A1731" s="2">
        <f ca="1">IF(COUNTIF($AA$1:$BXX$24,1731) = 0,RAND(),RAND()-1)</f>
        <v>3.6022299387208467E-2</v>
      </c>
      <c r="B1731" s="2" t="e">
        <f t="shared" ca="1" si="35"/>
        <v>#N/A</v>
      </c>
      <c r="C1731" s="1">
        <v>1731</v>
      </c>
      <c r="D1731" s="1" t="s">
        <v>3409</v>
      </c>
      <c r="E1731" s="1" t="s">
        <v>3410</v>
      </c>
    </row>
    <row r="1732" spans="1:5" ht="25">
      <c r="A1732" s="2">
        <f ca="1">IF(COUNTIF($AA$1:$BXX$24,1732) = 0,RAND(),RAND()-1)</f>
        <v>0.84378027024328583</v>
      </c>
      <c r="B1732" s="2" t="e">
        <f t="shared" ca="1" si="35"/>
        <v>#N/A</v>
      </c>
      <c r="C1732" s="1">
        <v>1732</v>
      </c>
      <c r="D1732" s="1" t="s">
        <v>3411</v>
      </c>
      <c r="E1732" s="1" t="s">
        <v>3412</v>
      </c>
    </row>
    <row r="1733" spans="1:5" ht="25">
      <c r="A1733" s="2">
        <f ca="1">IF(COUNTIF($AA$1:$BXX$24,1733) = 0,RAND(),RAND()-1)</f>
        <v>0.77867623246828277</v>
      </c>
      <c r="B1733" s="2" t="e">
        <f t="shared" ca="1" si="35"/>
        <v>#N/A</v>
      </c>
      <c r="C1733" s="1">
        <v>1733</v>
      </c>
      <c r="D1733" s="1" t="s">
        <v>3413</v>
      </c>
      <c r="E1733" s="1" t="s">
        <v>3414</v>
      </c>
    </row>
    <row r="1734" spans="1:5" ht="25">
      <c r="A1734" s="2">
        <f ca="1">IF(COUNTIF($AA$1:$BXX$24,1734) = 0,RAND(),RAND()-1)</f>
        <v>0.46206004088454466</v>
      </c>
      <c r="B1734" s="2" t="e">
        <f t="shared" ca="1" si="35"/>
        <v>#N/A</v>
      </c>
      <c r="C1734" s="1">
        <v>1734</v>
      </c>
      <c r="D1734" s="1" t="s">
        <v>3415</v>
      </c>
      <c r="E1734" s="1" t="s">
        <v>3416</v>
      </c>
    </row>
    <row r="1735" spans="1:5" ht="25">
      <c r="A1735" s="2">
        <f ca="1">IF(COUNTIF($AA$1:$BXX$24,1735) = 0,RAND(),RAND()-1)</f>
        <v>0.44854481162907134</v>
      </c>
      <c r="B1735" s="2" t="e">
        <f t="shared" ca="1" si="35"/>
        <v>#N/A</v>
      </c>
      <c r="C1735" s="1">
        <v>1735</v>
      </c>
      <c r="D1735" s="1" t="s">
        <v>3417</v>
      </c>
      <c r="E1735" s="1" t="s">
        <v>3418</v>
      </c>
    </row>
    <row r="1736" spans="1:5" ht="25">
      <c r="A1736" s="2">
        <f ca="1">IF(COUNTIF($AA$1:$BXX$24,1736) = 0,RAND(),RAND()-1)</f>
        <v>0.10427572564320631</v>
      </c>
      <c r="B1736" s="2" t="e">
        <f t="shared" ca="1" si="35"/>
        <v>#N/A</v>
      </c>
      <c r="C1736" s="1">
        <v>1736</v>
      </c>
      <c r="D1736" s="1" t="s">
        <v>3419</v>
      </c>
      <c r="E1736" s="1" t="s">
        <v>3420</v>
      </c>
    </row>
    <row r="1737" spans="1:5" ht="25">
      <c r="A1737" s="2">
        <f ca="1">IF(COUNTIF($AA$1:$BXX$24,1737) = 0,RAND(),RAND()-1)</f>
        <v>0.60737666780100452</v>
      </c>
      <c r="B1737" s="2" t="e">
        <f t="shared" ca="1" si="35"/>
        <v>#N/A</v>
      </c>
      <c r="C1737" s="1">
        <v>1737</v>
      </c>
      <c r="D1737" s="1" t="s">
        <v>3421</v>
      </c>
      <c r="E1737" s="1" t="s">
        <v>3422</v>
      </c>
    </row>
    <row r="1738" spans="1:5" ht="25">
      <c r="A1738" s="2">
        <f ca="1">IF(COUNTIF($AA$1:$BXX$24,1738) = 0,RAND(),RAND()-1)</f>
        <v>0.60280888469564242</v>
      </c>
      <c r="B1738" s="2" t="e">
        <f t="shared" ca="1" si="35"/>
        <v>#N/A</v>
      </c>
      <c r="C1738" s="1">
        <v>1738</v>
      </c>
      <c r="D1738" s="1" t="s">
        <v>3423</v>
      </c>
      <c r="E1738" s="1" t="s">
        <v>3424</v>
      </c>
    </row>
    <row r="1739" spans="1:5" ht="25">
      <c r="A1739" s="2">
        <f ca="1">IF(COUNTIF($AA$1:$BXX$24,1739) = 0,RAND(),RAND()-1)</f>
        <v>0.41936869523246545</v>
      </c>
      <c r="B1739" s="2" t="e">
        <f t="shared" ca="1" si="35"/>
        <v>#N/A</v>
      </c>
      <c r="C1739" s="1">
        <v>1739</v>
      </c>
      <c r="D1739" s="1" t="s">
        <v>3425</v>
      </c>
      <c r="E1739" s="1" t="s">
        <v>3426</v>
      </c>
    </row>
    <row r="1740" spans="1:5" ht="25">
      <c r="A1740" s="2">
        <f ca="1">IF(COUNTIF($AA$1:$BXX$24,1740) = 0,RAND(),RAND()-1)</f>
        <v>0.11616519894079058</v>
      </c>
      <c r="B1740" s="2" t="e">
        <f t="shared" ca="1" si="35"/>
        <v>#N/A</v>
      </c>
      <c r="C1740" s="1">
        <v>1740</v>
      </c>
      <c r="D1740" s="1" t="s">
        <v>3427</v>
      </c>
      <c r="E1740" s="1" t="s">
        <v>3428</v>
      </c>
    </row>
    <row r="1741" spans="1:5" ht="25">
      <c r="A1741" s="2">
        <f ca="1">IF(COUNTIF($AA$1:$BXX$24,1741) = 0,RAND(),RAND()-1)</f>
        <v>0.18631819319476906</v>
      </c>
      <c r="B1741" s="2" t="e">
        <f t="shared" ca="1" si="35"/>
        <v>#N/A</v>
      </c>
      <c r="C1741" s="1">
        <v>1741</v>
      </c>
      <c r="D1741" s="1" t="s">
        <v>3429</v>
      </c>
      <c r="E1741" s="1" t="s">
        <v>3430</v>
      </c>
    </row>
    <row r="1742" spans="1:5" ht="25">
      <c r="A1742" s="2">
        <f ca="1">IF(COUNTIF($AA$1:$BXX$24,1742) = 0,RAND(),RAND()-1)</f>
        <v>0.48324546260118995</v>
      </c>
      <c r="B1742" s="2" t="e">
        <f t="shared" ca="1" si="35"/>
        <v>#N/A</v>
      </c>
      <c r="C1742" s="1">
        <v>1742</v>
      </c>
      <c r="D1742" s="1" t="s">
        <v>3431</v>
      </c>
      <c r="E1742" s="1" t="s">
        <v>3432</v>
      </c>
    </row>
    <row r="1743" spans="1:5" ht="25">
      <c r="A1743" s="2">
        <f ca="1">IF(COUNTIF($AA$1:$BXX$24,1743) = 0,RAND(),RAND()-1)</f>
        <v>0.86045025787796992</v>
      </c>
      <c r="B1743" s="2" t="e">
        <f t="shared" ca="1" si="35"/>
        <v>#N/A</v>
      </c>
      <c r="C1743" s="1">
        <v>1743</v>
      </c>
      <c r="D1743" s="1" t="s">
        <v>3433</v>
      </c>
      <c r="E1743" s="1" t="s">
        <v>3434</v>
      </c>
    </row>
    <row r="1744" spans="1:5" ht="25">
      <c r="A1744" s="2">
        <f ca="1">IF(COUNTIF($AA$1:$BXX$24,1744) = 0,RAND(),RAND()-1)</f>
        <v>0.94208940596830193</v>
      </c>
      <c r="B1744" s="2" t="e">
        <f t="shared" ca="1" si="35"/>
        <v>#N/A</v>
      </c>
      <c r="C1744" s="1">
        <v>1744</v>
      </c>
      <c r="D1744" s="1" t="s">
        <v>3435</v>
      </c>
      <c r="E1744" s="1" t="s">
        <v>3436</v>
      </c>
    </row>
    <row r="1745" spans="1:5" ht="25">
      <c r="A1745" s="2">
        <f ca="1">IF(COUNTIF($AA$1:$BXX$24,1745) = 0,RAND(),RAND()-1)</f>
        <v>0.87938366088443198</v>
      </c>
      <c r="B1745" s="2" t="e">
        <f t="shared" ca="1" si="35"/>
        <v>#N/A</v>
      </c>
      <c r="C1745" s="1">
        <v>1745</v>
      </c>
      <c r="D1745" s="1" t="s">
        <v>3437</v>
      </c>
      <c r="E1745" s="1" t="s">
        <v>3438</v>
      </c>
    </row>
    <row r="1746" spans="1:5" ht="25">
      <c r="A1746" s="2">
        <f ca="1">IF(COUNTIF($AA$1:$BXX$24,1746) = 0,RAND(),RAND()-1)</f>
        <v>0.24770936445088809</v>
      </c>
      <c r="B1746" s="2" t="e">
        <f t="shared" ca="1" si="35"/>
        <v>#N/A</v>
      </c>
      <c r="C1746" s="1">
        <v>1746</v>
      </c>
      <c r="D1746" s="1" t="s">
        <v>3439</v>
      </c>
      <c r="E1746" s="1" t="s">
        <v>3440</v>
      </c>
    </row>
    <row r="1747" spans="1:5" ht="25">
      <c r="A1747" s="2">
        <f ca="1">IF(COUNTIF($AA$1:$BXX$24,1747) = 0,RAND(),RAND()-1)</f>
        <v>0.30308895427123483</v>
      </c>
      <c r="B1747" s="2" t="e">
        <f t="shared" ca="1" si="35"/>
        <v>#N/A</v>
      </c>
      <c r="C1747" s="1">
        <v>1747</v>
      </c>
      <c r="D1747" s="1" t="s">
        <v>3441</v>
      </c>
      <c r="E1747" s="1" t="s">
        <v>3442</v>
      </c>
    </row>
    <row r="1748" spans="1:5" ht="25">
      <c r="A1748" s="2">
        <f ca="1">IF(COUNTIF($AA$1:$BXX$24,1748) = 0,RAND(),RAND()-1)</f>
        <v>0.22422707667448838</v>
      </c>
      <c r="B1748" s="2" t="e">
        <f t="shared" ca="1" si="35"/>
        <v>#N/A</v>
      </c>
      <c r="C1748" s="1">
        <v>1748</v>
      </c>
      <c r="D1748" s="1" t="s">
        <v>3443</v>
      </c>
      <c r="E1748" s="1" t="s">
        <v>3444</v>
      </c>
    </row>
    <row r="1749" spans="1:5" ht="25">
      <c r="A1749" s="2">
        <f ca="1">IF(COUNTIF($AA$1:$BXX$24,1749) = 0,RAND(),RAND()-1)</f>
        <v>2.3549699814673364E-4</v>
      </c>
      <c r="B1749" s="2" t="e">
        <f t="shared" ca="1" si="35"/>
        <v>#N/A</v>
      </c>
      <c r="C1749" s="1">
        <v>1749</v>
      </c>
      <c r="D1749" s="1" t="s">
        <v>3445</v>
      </c>
      <c r="E1749" s="1" t="s">
        <v>3446</v>
      </c>
    </row>
    <row r="1750" spans="1:5" ht="25">
      <c r="A1750" s="2">
        <f ca="1">IF(COUNTIF($AA$1:$BXX$24,1750) = 0,RAND(),RAND()-1)</f>
        <v>0.61107387317812778</v>
      </c>
      <c r="B1750" s="2" t="e">
        <f t="shared" ca="1" si="35"/>
        <v>#N/A</v>
      </c>
      <c r="C1750" s="1">
        <v>1750</v>
      </c>
      <c r="D1750" s="1" t="s">
        <v>3447</v>
      </c>
      <c r="E1750" s="1" t="s">
        <v>2769</v>
      </c>
    </row>
    <row r="1751" spans="1:5" ht="25">
      <c r="A1751" s="2">
        <f ca="1">IF(COUNTIF($AA$1:$BXX$24,1751) = 0,RAND(),RAND()-1)</f>
        <v>0.9359845728840489</v>
      </c>
      <c r="B1751" s="2" t="e">
        <f t="shared" ca="1" si="35"/>
        <v>#N/A</v>
      </c>
      <c r="C1751" s="1">
        <v>1751</v>
      </c>
      <c r="D1751" s="1" t="s">
        <v>3448</v>
      </c>
      <c r="E1751" s="1" t="s">
        <v>3449</v>
      </c>
    </row>
    <row r="1752" spans="1:5" ht="25">
      <c r="A1752" s="2">
        <f ca="1">IF(COUNTIF($AA$1:$BXX$24,1752) = 0,RAND(),RAND()-1)</f>
        <v>0.32323407081279587</v>
      </c>
      <c r="B1752" s="2" t="e">
        <f t="shared" ca="1" si="35"/>
        <v>#N/A</v>
      </c>
      <c r="C1752" s="1">
        <v>1752</v>
      </c>
      <c r="D1752" s="1" t="s">
        <v>3450</v>
      </c>
      <c r="E1752" s="1" t="s">
        <v>3451</v>
      </c>
    </row>
    <row r="1753" spans="1:5" ht="25">
      <c r="A1753" s="2">
        <f ca="1">IF(COUNTIF($AA$1:$BXX$24,1753) = 0,RAND(),RAND()-1)</f>
        <v>0.2284847534440787</v>
      </c>
      <c r="B1753" s="2" t="e">
        <f t="shared" ca="1" si="35"/>
        <v>#N/A</v>
      </c>
      <c r="C1753" s="1">
        <v>1753</v>
      </c>
      <c r="D1753" s="1" t="s">
        <v>3452</v>
      </c>
      <c r="E1753" s="1" t="s">
        <v>3453</v>
      </c>
    </row>
    <row r="1754" spans="1:5" ht="25">
      <c r="A1754" s="2">
        <f ca="1">IF(COUNTIF($AA$1:$BXX$24,1754) = 0,RAND(),RAND()-1)</f>
        <v>0.96785753660416762</v>
      </c>
      <c r="B1754" s="2" t="e">
        <f t="shared" ca="1" si="35"/>
        <v>#N/A</v>
      </c>
      <c r="C1754" s="1">
        <v>1754</v>
      </c>
      <c r="D1754" s="1" t="s">
        <v>3454</v>
      </c>
      <c r="E1754" s="1" t="s">
        <v>2784</v>
      </c>
    </row>
    <row r="1755" spans="1:5" ht="25">
      <c r="A1755" s="2">
        <f ca="1">IF(COUNTIF($AA$1:$BXX$24,1755) = 0,RAND(),RAND()-1)</f>
        <v>0.33449503433233518</v>
      </c>
      <c r="B1755" s="2" t="e">
        <f t="shared" ca="1" si="35"/>
        <v>#N/A</v>
      </c>
      <c r="C1755" s="1">
        <v>1755</v>
      </c>
      <c r="D1755" s="1" t="s">
        <v>3455</v>
      </c>
      <c r="E1755" s="1" t="s">
        <v>3456</v>
      </c>
    </row>
    <row r="1756" spans="1:5" ht="25">
      <c r="A1756" s="2">
        <f ca="1">IF(COUNTIF($AA$1:$BXX$24,1756) = 0,RAND(),RAND()-1)</f>
        <v>0.20733920952858997</v>
      </c>
      <c r="B1756" s="2" t="e">
        <f t="shared" ca="1" si="35"/>
        <v>#N/A</v>
      </c>
      <c r="C1756" s="1">
        <v>1756</v>
      </c>
      <c r="D1756" s="1" t="s">
        <v>3457</v>
      </c>
      <c r="E1756" s="1" t="s">
        <v>3458</v>
      </c>
    </row>
    <row r="1757" spans="1:5" ht="25">
      <c r="A1757" s="2">
        <f ca="1">IF(COUNTIF($AA$1:$BXX$24,1757) = 0,RAND(),RAND()-1)</f>
        <v>0.86986353456789667</v>
      </c>
      <c r="B1757" s="2" t="e">
        <f t="shared" ca="1" si="35"/>
        <v>#N/A</v>
      </c>
      <c r="C1757" s="1">
        <v>1757</v>
      </c>
      <c r="D1757" s="1" t="s">
        <v>3459</v>
      </c>
      <c r="E1757" s="1" t="s">
        <v>3460</v>
      </c>
    </row>
    <row r="1758" spans="1:5" ht="25">
      <c r="A1758" s="2">
        <f ca="1">IF(COUNTIF($AA$1:$BXX$24,1758) = 0,RAND(),RAND()-1)</f>
        <v>0.30872209984540711</v>
      </c>
      <c r="B1758" s="2" t="e">
        <f t="shared" ca="1" si="35"/>
        <v>#N/A</v>
      </c>
      <c r="C1758" s="1">
        <v>1758</v>
      </c>
      <c r="D1758" s="1" t="s">
        <v>3461</v>
      </c>
      <c r="E1758" s="1" t="s">
        <v>3462</v>
      </c>
    </row>
    <row r="1759" spans="1:5" ht="25">
      <c r="A1759" s="2">
        <f ca="1">IF(COUNTIF($AA$1:$BXX$24,1759) = 0,RAND(),RAND()-1)</f>
        <v>0.83834778728442994</v>
      </c>
      <c r="B1759" s="2" t="e">
        <f t="shared" ca="1" si="35"/>
        <v>#N/A</v>
      </c>
      <c r="C1759" s="1">
        <v>1759</v>
      </c>
      <c r="D1759" s="1" t="s">
        <v>3463</v>
      </c>
      <c r="E1759" s="1" t="s">
        <v>3464</v>
      </c>
    </row>
    <row r="1760" spans="1:5" ht="25">
      <c r="A1760" s="2">
        <f ca="1">IF(COUNTIF($AA$1:$BXX$24,1760) = 0,RAND(),RAND()-1)</f>
        <v>0.74375340772894538</v>
      </c>
      <c r="B1760" s="2" t="e">
        <f t="shared" ca="1" si="35"/>
        <v>#N/A</v>
      </c>
      <c r="C1760" s="1">
        <v>1760</v>
      </c>
      <c r="D1760" s="1" t="s">
        <v>3465</v>
      </c>
      <c r="E1760" s="1" t="s">
        <v>3466</v>
      </c>
    </row>
    <row r="1761" spans="1:5" ht="25">
      <c r="A1761" s="2">
        <f ca="1">IF(COUNTIF($AA$1:$BXX$24,1761) = 0,RAND(),RAND()-1)</f>
        <v>0.62081870162171171</v>
      </c>
      <c r="B1761" s="2" t="e">
        <f t="shared" ca="1" si="35"/>
        <v>#N/A</v>
      </c>
      <c r="C1761" s="1">
        <v>1761</v>
      </c>
      <c r="D1761" s="1" t="s">
        <v>3467</v>
      </c>
      <c r="E1761" s="1" t="s">
        <v>3376</v>
      </c>
    </row>
    <row r="1762" spans="1:5" ht="25">
      <c r="A1762" s="2">
        <f ca="1">IF(COUNTIF($AA$1:$BXX$24,1762) = 0,RAND(),RAND()-1)</f>
        <v>0.47869832833513926</v>
      </c>
      <c r="B1762" s="2" t="e">
        <f t="shared" ca="1" si="35"/>
        <v>#N/A</v>
      </c>
      <c r="C1762" s="1">
        <v>1762</v>
      </c>
      <c r="D1762" s="1" t="s">
        <v>3468</v>
      </c>
      <c r="E1762" s="1" t="s">
        <v>3469</v>
      </c>
    </row>
    <row r="1763" spans="1:5" ht="25">
      <c r="A1763" s="2">
        <f ca="1">IF(COUNTIF($AA$1:$BXX$24,1763) = 0,RAND(),RAND()-1)</f>
        <v>0.27961035737907936</v>
      </c>
      <c r="B1763" s="2" t="e">
        <f t="shared" ca="1" si="35"/>
        <v>#N/A</v>
      </c>
      <c r="C1763" s="1">
        <v>1763</v>
      </c>
      <c r="D1763" s="1" t="s">
        <v>3470</v>
      </c>
      <c r="E1763" s="1" t="s">
        <v>3471</v>
      </c>
    </row>
    <row r="1764" spans="1:5" ht="25">
      <c r="A1764" s="2">
        <f ca="1">IF(COUNTIF($AA$1:$BXX$24,1764) = 0,RAND(),RAND()-1)</f>
        <v>0.30450254724361625</v>
      </c>
      <c r="B1764" s="2" t="e">
        <f t="shared" ca="1" si="35"/>
        <v>#N/A</v>
      </c>
      <c r="C1764" s="1">
        <v>1764</v>
      </c>
      <c r="D1764" s="1" t="s">
        <v>3472</v>
      </c>
      <c r="E1764" s="1" t="s">
        <v>3473</v>
      </c>
    </row>
    <row r="1765" spans="1:5" ht="25">
      <c r="A1765" s="2">
        <f ca="1">IF(COUNTIF($AA$1:$BXX$24,1765) = 0,RAND(),RAND()-1)</f>
        <v>0.4906255179296084</v>
      </c>
      <c r="B1765" s="2" t="e">
        <f t="shared" ca="1" si="35"/>
        <v>#N/A</v>
      </c>
      <c r="C1765" s="1">
        <v>1765</v>
      </c>
      <c r="D1765" s="1" t="s">
        <v>3474</v>
      </c>
      <c r="E1765" s="1" t="s">
        <v>3475</v>
      </c>
    </row>
    <row r="1766" spans="1:5" ht="25">
      <c r="A1766" s="2">
        <f ca="1">IF(COUNTIF($AA$1:$BXX$24,1766) = 0,RAND(),RAND()-1)</f>
        <v>0.41654892715603697</v>
      </c>
      <c r="B1766" s="2" t="e">
        <f t="shared" ca="1" si="35"/>
        <v>#N/A</v>
      </c>
      <c r="C1766" s="1">
        <v>1766</v>
      </c>
      <c r="D1766" s="1" t="s">
        <v>3476</v>
      </c>
      <c r="E1766" s="1" t="s">
        <v>3477</v>
      </c>
    </row>
    <row r="1767" spans="1:5" ht="25">
      <c r="A1767" s="2">
        <f ca="1">IF(COUNTIF($AA$1:$BXX$24,1767) = 0,RAND(),RAND()-1)</f>
        <v>0.80748247652291316</v>
      </c>
      <c r="B1767" s="2" t="e">
        <f t="shared" ca="1" si="35"/>
        <v>#N/A</v>
      </c>
      <c r="C1767" s="1">
        <v>1767</v>
      </c>
      <c r="D1767" s="1" t="s">
        <v>3478</v>
      </c>
      <c r="E1767" s="1" t="s">
        <v>3376</v>
      </c>
    </row>
    <row r="1768" spans="1:5" ht="25">
      <c r="A1768" s="2">
        <f ca="1">IF(COUNTIF($AA$1:$BXX$24,1768) = 0,RAND(),RAND()-1)</f>
        <v>0.4014480453838315</v>
      </c>
      <c r="B1768" s="2" t="e">
        <f t="shared" ca="1" si="35"/>
        <v>#N/A</v>
      </c>
      <c r="C1768" s="1">
        <v>1768</v>
      </c>
      <c r="D1768" s="1" t="s">
        <v>3479</v>
      </c>
      <c r="E1768" s="1" t="s">
        <v>3480</v>
      </c>
    </row>
    <row r="1769" spans="1:5" ht="25">
      <c r="A1769" s="2">
        <f ca="1">IF(COUNTIF($AA$1:$BXX$24,1769) = 0,RAND(),RAND()-1)</f>
        <v>0.78017197271125627</v>
      </c>
      <c r="B1769" s="2" t="e">
        <f t="shared" ca="1" si="35"/>
        <v>#N/A</v>
      </c>
      <c r="C1769" s="1">
        <v>1769</v>
      </c>
      <c r="D1769" s="1" t="s">
        <v>3481</v>
      </c>
      <c r="E1769" s="1" t="s">
        <v>3482</v>
      </c>
    </row>
    <row r="1770" spans="1:5" ht="25">
      <c r="A1770" s="2">
        <f ca="1">IF(COUNTIF($AA$1:$BXX$24,1770) = 0,RAND(),RAND()-1)</f>
        <v>4.8651492699596344E-2</v>
      </c>
      <c r="B1770" s="2" t="e">
        <f t="shared" ca="1" si="35"/>
        <v>#N/A</v>
      </c>
      <c r="C1770" s="1">
        <v>1770</v>
      </c>
      <c r="D1770" s="1" t="s">
        <v>3483</v>
      </c>
      <c r="E1770" s="1" t="s">
        <v>3484</v>
      </c>
    </row>
    <row r="1771" spans="1:5" ht="25">
      <c r="A1771" s="2">
        <f ca="1">IF(COUNTIF($AA$1:$BXX$24,1771) = 0,RAND(),RAND()-1)</f>
        <v>0.60460290678798412</v>
      </c>
      <c r="B1771" s="2" t="e">
        <f t="shared" ca="1" si="35"/>
        <v>#N/A</v>
      </c>
      <c r="C1771" s="1">
        <v>1771</v>
      </c>
      <c r="D1771" s="1" t="s">
        <v>3485</v>
      </c>
      <c r="E1771" s="1" t="s">
        <v>2753</v>
      </c>
    </row>
    <row r="1772" spans="1:5" ht="25">
      <c r="A1772" s="2">
        <f ca="1">IF(COUNTIF($AA$1:$BXX$24,1772) = 0,RAND(),RAND()-1)</f>
        <v>7.2885912804784403E-2</v>
      </c>
      <c r="B1772" s="2" t="e">
        <f t="shared" ca="1" si="35"/>
        <v>#N/A</v>
      </c>
      <c r="C1772" s="1">
        <v>1772</v>
      </c>
      <c r="D1772" s="1" t="s">
        <v>3486</v>
      </c>
      <c r="E1772" s="1" t="s">
        <v>3487</v>
      </c>
    </row>
    <row r="1773" spans="1:5" ht="25">
      <c r="A1773" s="2">
        <f ca="1">IF(COUNTIF($AA$1:$BXX$24,1773) = 0,RAND(),RAND()-1)</f>
        <v>0.74307002250004073</v>
      </c>
      <c r="B1773" s="2" t="e">
        <f t="shared" ca="1" si="35"/>
        <v>#N/A</v>
      </c>
      <c r="C1773" s="1">
        <v>1773</v>
      </c>
      <c r="D1773" s="1" t="s">
        <v>3488</v>
      </c>
      <c r="E1773" s="1" t="s">
        <v>2727</v>
      </c>
    </row>
    <row r="1774" spans="1:5" ht="25">
      <c r="A1774" s="2">
        <f ca="1">IF(COUNTIF($AA$1:$BXX$24,1774) = 0,RAND(),RAND()-1)</f>
        <v>0.80362332321001306</v>
      </c>
      <c r="B1774" s="2" t="e">
        <f t="shared" ca="1" si="35"/>
        <v>#N/A</v>
      </c>
      <c r="C1774" s="1">
        <v>1774</v>
      </c>
      <c r="D1774" s="1" t="s">
        <v>3489</v>
      </c>
      <c r="E1774" s="1" t="s">
        <v>3490</v>
      </c>
    </row>
    <row r="1775" spans="1:5" ht="25">
      <c r="A1775" s="2">
        <f ca="1">IF(COUNTIF($AA$1:$BXX$24,1775) = 0,RAND(),RAND()-1)</f>
        <v>0.58171547462042061</v>
      </c>
      <c r="B1775" s="2" t="e">
        <f t="shared" ca="1" si="35"/>
        <v>#N/A</v>
      </c>
      <c r="C1775" s="1">
        <v>1775</v>
      </c>
      <c r="D1775" s="1" t="s">
        <v>3491</v>
      </c>
      <c r="E1775" s="1" t="s">
        <v>3492</v>
      </c>
    </row>
    <row r="1776" spans="1:5" ht="25">
      <c r="A1776" s="2">
        <f ca="1">IF(COUNTIF($AA$1:$BXX$24,1776) = 0,RAND(),RAND()-1)</f>
        <v>0.83627398850544532</v>
      </c>
      <c r="B1776" s="2" t="e">
        <f t="shared" ca="1" si="35"/>
        <v>#N/A</v>
      </c>
      <c r="C1776" s="1">
        <v>1776</v>
      </c>
      <c r="D1776" s="1" t="s">
        <v>3493</v>
      </c>
      <c r="E1776" s="1" t="s">
        <v>3494</v>
      </c>
    </row>
    <row r="1777" spans="1:5" ht="25">
      <c r="A1777" s="2">
        <f ca="1">IF(COUNTIF($AA$1:$BXX$24,1777) = 0,RAND(),RAND()-1)</f>
        <v>0.50749612962532931</v>
      </c>
      <c r="B1777" s="2" t="e">
        <f t="shared" ca="1" si="35"/>
        <v>#N/A</v>
      </c>
      <c r="C1777" s="1">
        <v>1777</v>
      </c>
      <c r="D1777" s="1" t="s">
        <v>3495</v>
      </c>
      <c r="E1777" s="1" t="s">
        <v>3496</v>
      </c>
    </row>
    <row r="1778" spans="1:5" ht="25">
      <c r="A1778" s="2">
        <f ca="1">IF(COUNTIF($AA$1:$BXX$24,1778) = 0,RAND(),RAND()-1)</f>
        <v>0.24975308007718489</v>
      </c>
      <c r="B1778" s="2" t="e">
        <f t="shared" ca="1" si="35"/>
        <v>#N/A</v>
      </c>
      <c r="C1778" s="1">
        <v>1778</v>
      </c>
      <c r="D1778" s="1" t="s">
        <v>3497</v>
      </c>
      <c r="E1778" s="1" t="s">
        <v>3498</v>
      </c>
    </row>
    <row r="1779" spans="1:5" ht="25">
      <c r="A1779" s="2">
        <f ca="1">IF(COUNTIF($AA$1:$BXX$24,1779) = 0,RAND(),RAND()-1)</f>
        <v>0.2117948082727813</v>
      </c>
      <c r="B1779" s="2" t="e">
        <f t="shared" ca="1" si="35"/>
        <v>#N/A</v>
      </c>
      <c r="C1779" s="1">
        <v>1779</v>
      </c>
      <c r="D1779" s="1" t="s">
        <v>3499</v>
      </c>
      <c r="E1779" s="1" t="s">
        <v>3500</v>
      </c>
    </row>
    <row r="1780" spans="1:5" ht="25">
      <c r="A1780" s="2">
        <f ca="1">IF(COUNTIF($AA$1:$BXX$24,1780) = 0,RAND(),RAND()-1)</f>
        <v>0.3887888939008084</v>
      </c>
      <c r="B1780" s="2" t="e">
        <f t="shared" ca="1" si="35"/>
        <v>#N/A</v>
      </c>
      <c r="C1780" s="1">
        <v>1780</v>
      </c>
      <c r="D1780" s="1" t="s">
        <v>3501</v>
      </c>
      <c r="E1780" s="1" t="s">
        <v>3502</v>
      </c>
    </row>
    <row r="1781" spans="1:5" ht="25">
      <c r="A1781" s="2">
        <f ca="1">IF(COUNTIF($AA$1:$BXX$24,1781) = 0,RAND(),RAND()-1)</f>
        <v>0.96926423608680268</v>
      </c>
      <c r="B1781" s="2" t="e">
        <f t="shared" ca="1" si="35"/>
        <v>#N/A</v>
      </c>
      <c r="C1781" s="1">
        <v>1781</v>
      </c>
      <c r="D1781" s="1" t="s">
        <v>3503</v>
      </c>
      <c r="E1781" s="1" t="s">
        <v>3504</v>
      </c>
    </row>
    <row r="1782" spans="1:5" ht="25">
      <c r="A1782" s="2">
        <f ca="1">IF(COUNTIF($AA$1:$BXX$24,1782) = 0,RAND(),RAND()-1)</f>
        <v>0.32377030748069613</v>
      </c>
      <c r="B1782" s="2" t="e">
        <f t="shared" ca="1" si="35"/>
        <v>#N/A</v>
      </c>
      <c r="C1782" s="1">
        <v>1782</v>
      </c>
      <c r="D1782" s="1" t="s">
        <v>3505</v>
      </c>
      <c r="E1782" s="1" t="s">
        <v>3506</v>
      </c>
    </row>
    <row r="1783" spans="1:5" ht="25">
      <c r="A1783" s="2">
        <f ca="1">IF(COUNTIF($AA$1:$BXX$24,1783) = 0,RAND(),RAND()-1)</f>
        <v>0.80034533452104295</v>
      </c>
      <c r="B1783" s="2" t="e">
        <f t="shared" ca="1" si="35"/>
        <v>#N/A</v>
      </c>
      <c r="C1783" s="1">
        <v>1783</v>
      </c>
      <c r="D1783" s="1" t="s">
        <v>3507</v>
      </c>
      <c r="E1783" s="1" t="s">
        <v>3508</v>
      </c>
    </row>
    <row r="1784" spans="1:5" ht="25">
      <c r="A1784" s="2">
        <f ca="1">IF(COUNTIF($AA$1:$BXX$24,1784) = 0,RAND(),RAND()-1)</f>
        <v>0.71431503194122747</v>
      </c>
      <c r="B1784" s="2" t="e">
        <f t="shared" ca="1" si="35"/>
        <v>#N/A</v>
      </c>
      <c r="C1784" s="1">
        <v>1784</v>
      </c>
      <c r="D1784" s="1" t="s">
        <v>3509</v>
      </c>
      <c r="E1784" s="1" t="s">
        <v>3510</v>
      </c>
    </row>
    <row r="1785" spans="1:5" ht="25">
      <c r="A1785" s="2">
        <f ca="1">IF(COUNTIF($AA$1:$BXX$24,1785) = 0,RAND(),RAND()-1)</f>
        <v>0.4988743543411388</v>
      </c>
      <c r="B1785" s="2" t="e">
        <f t="shared" ca="1" si="35"/>
        <v>#N/A</v>
      </c>
      <c r="C1785" s="1">
        <v>1785</v>
      </c>
      <c r="D1785" s="1" t="s">
        <v>3511</v>
      </c>
      <c r="E1785" s="1" t="s">
        <v>3512</v>
      </c>
    </row>
    <row r="1786" spans="1:5" ht="25">
      <c r="A1786" s="2">
        <f ca="1">IF(COUNTIF($AA$1:$BXX$24,1786) = 0,RAND(),RAND()-1)</f>
        <v>0.9848101130325897</v>
      </c>
      <c r="B1786" s="2" t="e">
        <f t="shared" ca="1" si="35"/>
        <v>#N/A</v>
      </c>
      <c r="C1786" s="1">
        <v>1786</v>
      </c>
      <c r="D1786" s="1" t="s">
        <v>3513</v>
      </c>
      <c r="E1786" s="1" t="s">
        <v>3514</v>
      </c>
    </row>
    <row r="1787" spans="1:5" ht="25">
      <c r="A1787" s="2">
        <f ca="1">IF(COUNTIF($AA$1:$BXX$24,1787) = 0,RAND(),RAND()-1)</f>
        <v>0.26660321753990535</v>
      </c>
      <c r="B1787" s="2" t="e">
        <f t="shared" ca="1" si="35"/>
        <v>#N/A</v>
      </c>
      <c r="C1787" s="1">
        <v>1787</v>
      </c>
      <c r="D1787" s="1" t="s">
        <v>3515</v>
      </c>
      <c r="E1787" s="1" t="s">
        <v>3516</v>
      </c>
    </row>
    <row r="1788" spans="1:5" ht="25">
      <c r="A1788" s="2">
        <f ca="1">IF(COUNTIF($AA$1:$BXX$24,1788) = 0,RAND(),RAND()-1)</f>
        <v>0.14965504494478721</v>
      </c>
      <c r="B1788" s="2" t="e">
        <f t="shared" ca="1" si="35"/>
        <v>#N/A</v>
      </c>
      <c r="C1788" s="1">
        <v>1788</v>
      </c>
      <c r="D1788" s="1" t="s">
        <v>3517</v>
      </c>
      <c r="E1788" s="1" t="s">
        <v>3518</v>
      </c>
    </row>
    <row r="1789" spans="1:5" ht="25">
      <c r="A1789" s="2">
        <f ca="1">IF(COUNTIF($AA$1:$BXX$24,1789) = 0,RAND(),RAND()-1)</f>
        <v>0.93727553966731025</v>
      </c>
      <c r="B1789" s="2" t="e">
        <f t="shared" ca="1" si="35"/>
        <v>#N/A</v>
      </c>
      <c r="C1789" s="1">
        <v>1789</v>
      </c>
      <c r="D1789" s="1" t="s">
        <v>3519</v>
      </c>
      <c r="E1789" s="1" t="s">
        <v>3520</v>
      </c>
    </row>
    <row r="1790" spans="1:5" ht="25">
      <c r="A1790" s="2">
        <f ca="1">IF(COUNTIF($AA$1:$BXX$24,1790) = 0,RAND(),RAND()-1)</f>
        <v>0.63986819387456684</v>
      </c>
      <c r="B1790" s="2" t="e">
        <f t="shared" ca="1" si="35"/>
        <v>#N/A</v>
      </c>
      <c r="C1790" s="1">
        <v>1790</v>
      </c>
      <c r="D1790" s="1" t="s">
        <v>3521</v>
      </c>
      <c r="E1790" s="1" t="s">
        <v>3522</v>
      </c>
    </row>
    <row r="1791" spans="1:5" ht="25">
      <c r="A1791" s="2">
        <f ca="1">IF(COUNTIF($AA$1:$BXX$24,1791) = 0,RAND(),RAND()-1)</f>
        <v>0.22349515327580938</v>
      </c>
      <c r="B1791" s="2" t="e">
        <f t="shared" ca="1" si="35"/>
        <v>#N/A</v>
      </c>
      <c r="C1791" s="1">
        <v>1791</v>
      </c>
      <c r="D1791" s="1" t="s">
        <v>3523</v>
      </c>
      <c r="E1791" s="1" t="s">
        <v>3524</v>
      </c>
    </row>
    <row r="1792" spans="1:5" ht="25">
      <c r="A1792" s="2">
        <f ca="1">IF(COUNTIF($AA$1:$BXX$24,1792) = 0,RAND(),RAND()-1)</f>
        <v>0.87567181869007515</v>
      </c>
      <c r="B1792" s="2" t="e">
        <f t="shared" ca="1" si="35"/>
        <v>#N/A</v>
      </c>
      <c r="C1792" s="1">
        <v>1792</v>
      </c>
      <c r="D1792" s="1" t="s">
        <v>3525</v>
      </c>
      <c r="E1792" s="1" t="s">
        <v>3526</v>
      </c>
    </row>
    <row r="1793" spans="1:5" ht="25">
      <c r="A1793" s="2">
        <f ca="1">IF(COUNTIF($AA$1:$BXX$24,1793) = 0,RAND(),RAND()-1)</f>
        <v>0.86724064492664732</v>
      </c>
      <c r="B1793" s="2" t="e">
        <f t="shared" ref="B1793:B1856" ca="1" si="36">RANK(A1793,OFFSET($A$1,$G$1-1,0,$G$2-$G$1+1))</f>
        <v>#N/A</v>
      </c>
      <c r="C1793" s="1">
        <v>1793</v>
      </c>
      <c r="D1793" s="1" t="s">
        <v>3527</v>
      </c>
      <c r="E1793" s="1" t="s">
        <v>1013</v>
      </c>
    </row>
    <row r="1794" spans="1:5" ht="25">
      <c r="A1794" s="2">
        <f ca="1">IF(COUNTIF($AA$1:$BXX$24,1794) = 0,RAND(),RAND()-1)</f>
        <v>9.4998099727687801E-2</v>
      </c>
      <c r="B1794" s="2" t="e">
        <f t="shared" ca="1" si="36"/>
        <v>#N/A</v>
      </c>
      <c r="C1794" s="1">
        <v>1794</v>
      </c>
      <c r="D1794" s="1" t="s">
        <v>3528</v>
      </c>
      <c r="E1794" s="1" t="s">
        <v>3529</v>
      </c>
    </row>
    <row r="1795" spans="1:5" ht="25">
      <c r="A1795" s="2">
        <f ca="1">IF(COUNTIF($AA$1:$BXX$24,1795) = 0,RAND(),RAND()-1)</f>
        <v>0.25953596915949728</v>
      </c>
      <c r="B1795" s="2" t="e">
        <f t="shared" ca="1" si="36"/>
        <v>#N/A</v>
      </c>
      <c r="C1795" s="1">
        <v>1795</v>
      </c>
      <c r="D1795" s="1" t="s">
        <v>3530</v>
      </c>
      <c r="E1795" s="1" t="s">
        <v>3531</v>
      </c>
    </row>
    <row r="1796" spans="1:5" ht="25">
      <c r="A1796" s="2">
        <f ca="1">IF(COUNTIF($AA$1:$BXX$24,1796) = 0,RAND(),RAND()-1)</f>
        <v>0.65168198236235575</v>
      </c>
      <c r="B1796" s="2" t="e">
        <f t="shared" ca="1" si="36"/>
        <v>#N/A</v>
      </c>
      <c r="C1796" s="1">
        <v>1796</v>
      </c>
      <c r="D1796" s="1" t="s">
        <v>3532</v>
      </c>
      <c r="E1796" s="1" t="s">
        <v>3533</v>
      </c>
    </row>
    <row r="1797" spans="1:5" ht="25">
      <c r="A1797" s="2">
        <f ca="1">IF(COUNTIF($AA$1:$BXX$24,1797) = 0,RAND(),RAND()-1)</f>
        <v>0.99964089655108612</v>
      </c>
      <c r="B1797" s="2" t="e">
        <f t="shared" ca="1" si="36"/>
        <v>#N/A</v>
      </c>
      <c r="C1797" s="1">
        <v>1797</v>
      </c>
      <c r="D1797" s="1" t="s">
        <v>3534</v>
      </c>
      <c r="E1797" s="1" t="s">
        <v>3535</v>
      </c>
    </row>
    <row r="1798" spans="1:5" ht="25">
      <c r="A1798" s="2">
        <f ca="1">IF(COUNTIF($AA$1:$BXX$24,1798) = 0,RAND(),RAND()-1)</f>
        <v>0.53992102166952349</v>
      </c>
      <c r="B1798" s="2" t="e">
        <f t="shared" ca="1" si="36"/>
        <v>#N/A</v>
      </c>
      <c r="C1798" s="1">
        <v>1798</v>
      </c>
      <c r="D1798" s="1" t="s">
        <v>3536</v>
      </c>
      <c r="E1798" s="1" t="s">
        <v>3537</v>
      </c>
    </row>
    <row r="1799" spans="1:5" ht="25">
      <c r="A1799" s="2">
        <f ca="1">IF(COUNTIF($AA$1:$BXX$24,1799) = 0,RAND(),RAND()-1)</f>
        <v>0.44329037742999966</v>
      </c>
      <c r="B1799" s="2" t="e">
        <f t="shared" ca="1" si="36"/>
        <v>#N/A</v>
      </c>
      <c r="C1799" s="1">
        <v>1799</v>
      </c>
      <c r="D1799" s="1" t="s">
        <v>3538</v>
      </c>
      <c r="E1799" s="1" t="s">
        <v>3539</v>
      </c>
    </row>
    <row r="1800" spans="1:5" ht="25">
      <c r="A1800" s="2">
        <f ca="1">IF(COUNTIF($AA$1:$BXX$24,1800) = 0,RAND(),RAND()-1)</f>
        <v>0.68439964044725121</v>
      </c>
      <c r="B1800" s="2" t="e">
        <f t="shared" ca="1" si="36"/>
        <v>#N/A</v>
      </c>
      <c r="C1800" s="1">
        <v>1800</v>
      </c>
      <c r="D1800" s="1" t="s">
        <v>3540</v>
      </c>
      <c r="E1800" s="1" t="s">
        <v>3541</v>
      </c>
    </row>
    <row r="1801" spans="1:5" ht="25">
      <c r="A1801" s="2">
        <f ca="1">IF(COUNTIF($AA$1:$BXX$24,1801) = 0,RAND(),RAND()-1)</f>
        <v>0.98905678749674841</v>
      </c>
      <c r="B1801" s="2" t="e">
        <f t="shared" ca="1" si="36"/>
        <v>#N/A</v>
      </c>
      <c r="C1801" s="1">
        <v>1801</v>
      </c>
      <c r="D1801" s="1" t="s">
        <v>3542</v>
      </c>
      <c r="E1801" s="1" t="s">
        <v>3543</v>
      </c>
    </row>
    <row r="1802" spans="1:5" ht="25">
      <c r="A1802" s="2">
        <f ca="1">IF(COUNTIF($AA$1:$BXX$24,1802) = 0,RAND(),RAND()-1)</f>
        <v>0.24745642570442017</v>
      </c>
      <c r="B1802" s="2" t="e">
        <f t="shared" ca="1" si="36"/>
        <v>#N/A</v>
      </c>
      <c r="C1802" s="1">
        <v>1802</v>
      </c>
      <c r="D1802" s="1" t="s">
        <v>3544</v>
      </c>
      <c r="E1802" s="1" t="s">
        <v>3545</v>
      </c>
    </row>
    <row r="1803" spans="1:5" ht="25">
      <c r="A1803" s="2">
        <f ca="1">IF(COUNTIF($AA$1:$BXX$24,1803) = 0,RAND(),RAND()-1)</f>
        <v>0.88491003093057807</v>
      </c>
      <c r="B1803" s="2" t="e">
        <f t="shared" ca="1" si="36"/>
        <v>#N/A</v>
      </c>
      <c r="C1803" s="1">
        <v>1803</v>
      </c>
      <c r="D1803" s="1" t="s">
        <v>3546</v>
      </c>
      <c r="E1803" s="1" t="s">
        <v>3547</v>
      </c>
    </row>
    <row r="1804" spans="1:5" ht="25">
      <c r="A1804" s="2">
        <f ca="1">IF(COUNTIF($AA$1:$BXX$24,1804) = 0,RAND(),RAND()-1)</f>
        <v>0.25202777500673956</v>
      </c>
      <c r="B1804" s="2" t="e">
        <f t="shared" ca="1" si="36"/>
        <v>#N/A</v>
      </c>
      <c r="C1804" s="1">
        <v>1804</v>
      </c>
      <c r="D1804" s="1" t="s">
        <v>3548</v>
      </c>
      <c r="E1804" s="1" t="s">
        <v>3549</v>
      </c>
    </row>
    <row r="1805" spans="1:5" ht="25">
      <c r="A1805" s="2">
        <f ca="1">IF(COUNTIF($AA$1:$BXX$24,1805) = 0,RAND(),RAND()-1)</f>
        <v>0.92784822793582089</v>
      </c>
      <c r="B1805" s="2" t="e">
        <f t="shared" ca="1" si="36"/>
        <v>#N/A</v>
      </c>
      <c r="C1805" s="1">
        <v>1805</v>
      </c>
      <c r="D1805" s="1" t="s">
        <v>3550</v>
      </c>
      <c r="E1805" s="1" t="s">
        <v>3551</v>
      </c>
    </row>
    <row r="1806" spans="1:5" ht="25">
      <c r="A1806" s="2">
        <f ca="1">IF(COUNTIF($AA$1:$BXX$24,1806) = 0,RAND(),RAND()-1)</f>
        <v>0.41324844197594091</v>
      </c>
      <c r="B1806" s="2" t="e">
        <f t="shared" ca="1" si="36"/>
        <v>#N/A</v>
      </c>
      <c r="C1806" s="1">
        <v>1806</v>
      </c>
      <c r="D1806" s="1" t="s">
        <v>3552</v>
      </c>
      <c r="E1806" s="1" t="s">
        <v>3553</v>
      </c>
    </row>
    <row r="1807" spans="1:5" ht="25">
      <c r="A1807" s="2">
        <f ca="1">IF(COUNTIF($AA$1:$BXX$24,1807) = 0,RAND(),RAND()-1)</f>
        <v>0.30699555761082387</v>
      </c>
      <c r="B1807" s="2" t="e">
        <f t="shared" ca="1" si="36"/>
        <v>#N/A</v>
      </c>
      <c r="C1807" s="1">
        <v>1807</v>
      </c>
      <c r="D1807" s="1" t="s">
        <v>3554</v>
      </c>
      <c r="E1807" s="1" t="s">
        <v>3555</v>
      </c>
    </row>
    <row r="1808" spans="1:5" ht="25">
      <c r="A1808" s="2">
        <f ca="1">IF(COUNTIF($AA$1:$BXX$24,1808) = 0,RAND(),RAND()-1)</f>
        <v>0.45315386781546052</v>
      </c>
      <c r="B1808" s="2" t="e">
        <f t="shared" ca="1" si="36"/>
        <v>#N/A</v>
      </c>
      <c r="C1808" s="1">
        <v>1808</v>
      </c>
      <c r="D1808" s="1" t="s">
        <v>3556</v>
      </c>
      <c r="E1808" s="1" t="s">
        <v>3557</v>
      </c>
    </row>
    <row r="1809" spans="1:5" ht="25">
      <c r="A1809" s="2">
        <f ca="1">IF(COUNTIF($AA$1:$BXX$24,1809) = 0,RAND(),RAND()-1)</f>
        <v>0.43907735184110241</v>
      </c>
      <c r="B1809" s="2" t="e">
        <f t="shared" ca="1" si="36"/>
        <v>#N/A</v>
      </c>
      <c r="C1809" s="1">
        <v>1809</v>
      </c>
      <c r="D1809" s="1" t="s">
        <v>3558</v>
      </c>
      <c r="E1809" s="1" t="s">
        <v>1443</v>
      </c>
    </row>
    <row r="1810" spans="1:5" ht="25">
      <c r="A1810" s="2">
        <f ca="1">IF(COUNTIF($AA$1:$BXX$24,1810) = 0,RAND(),RAND()-1)</f>
        <v>0.38505557136483026</v>
      </c>
      <c r="B1810" s="2" t="e">
        <f t="shared" ca="1" si="36"/>
        <v>#N/A</v>
      </c>
      <c r="C1810" s="1">
        <v>1810</v>
      </c>
      <c r="D1810" s="1" t="s">
        <v>3559</v>
      </c>
      <c r="E1810" s="1" t="s">
        <v>3560</v>
      </c>
    </row>
    <row r="1811" spans="1:5" ht="25">
      <c r="A1811" s="2">
        <f ca="1">IF(COUNTIF($AA$1:$BXX$24,1811) = 0,RAND(),RAND()-1)</f>
        <v>0.81588113667903428</v>
      </c>
      <c r="B1811" s="2" t="e">
        <f t="shared" ca="1" si="36"/>
        <v>#N/A</v>
      </c>
      <c r="C1811" s="1">
        <v>1811</v>
      </c>
      <c r="D1811" s="1" t="s">
        <v>3561</v>
      </c>
      <c r="E1811" s="1" t="s">
        <v>3562</v>
      </c>
    </row>
    <row r="1812" spans="1:5" ht="25">
      <c r="A1812" s="2">
        <f ca="1">IF(COUNTIF($AA$1:$BXX$24,1812) = 0,RAND(),RAND()-1)</f>
        <v>0.21907352574202321</v>
      </c>
      <c r="B1812" s="2" t="e">
        <f t="shared" ca="1" si="36"/>
        <v>#N/A</v>
      </c>
      <c r="C1812" s="1">
        <v>1812</v>
      </c>
      <c r="D1812" s="1" t="s">
        <v>3563</v>
      </c>
      <c r="E1812" s="1" t="s">
        <v>3564</v>
      </c>
    </row>
    <row r="1813" spans="1:5" ht="25">
      <c r="A1813" s="2">
        <f ca="1">IF(COUNTIF($AA$1:$BXX$24,1813) = 0,RAND(),RAND()-1)</f>
        <v>0.32345845498497816</v>
      </c>
      <c r="B1813" s="2" t="e">
        <f t="shared" ca="1" si="36"/>
        <v>#N/A</v>
      </c>
      <c r="C1813" s="1">
        <v>1813</v>
      </c>
      <c r="D1813" s="1" t="s">
        <v>3565</v>
      </c>
      <c r="E1813" s="1" t="s">
        <v>3264</v>
      </c>
    </row>
    <row r="1814" spans="1:5" ht="25">
      <c r="A1814" s="2">
        <f ca="1">IF(COUNTIF($AA$1:$BXX$24,1814) = 0,RAND(),RAND()-1)</f>
        <v>0.87785066917528976</v>
      </c>
      <c r="B1814" s="2" t="e">
        <f t="shared" ca="1" si="36"/>
        <v>#N/A</v>
      </c>
      <c r="C1814" s="1">
        <v>1814</v>
      </c>
      <c r="D1814" s="1" t="s">
        <v>3566</v>
      </c>
      <c r="E1814" s="1" t="s">
        <v>3567</v>
      </c>
    </row>
    <row r="1815" spans="1:5" ht="25">
      <c r="A1815" s="2">
        <f ca="1">IF(COUNTIF($AA$1:$BXX$24,1815) = 0,RAND(),RAND()-1)</f>
        <v>0.87026813946226611</v>
      </c>
      <c r="B1815" s="2" t="e">
        <f t="shared" ca="1" si="36"/>
        <v>#N/A</v>
      </c>
      <c r="C1815" s="1">
        <v>1815</v>
      </c>
      <c r="D1815" s="1" t="s">
        <v>3568</v>
      </c>
      <c r="E1815" s="1" t="s">
        <v>3569</v>
      </c>
    </row>
    <row r="1816" spans="1:5" ht="25">
      <c r="A1816" s="2">
        <f ca="1">IF(COUNTIF($AA$1:$BXX$24,1816) = 0,RAND(),RAND()-1)</f>
        <v>0.96271687668214967</v>
      </c>
      <c r="B1816" s="2" t="e">
        <f t="shared" ca="1" si="36"/>
        <v>#N/A</v>
      </c>
      <c r="C1816" s="1">
        <v>1816</v>
      </c>
      <c r="D1816" s="1" t="s">
        <v>3570</v>
      </c>
      <c r="E1816" s="1" t="s">
        <v>3571</v>
      </c>
    </row>
    <row r="1817" spans="1:5" ht="25">
      <c r="A1817" s="2">
        <f ca="1">IF(COUNTIF($AA$1:$BXX$24,1817) = 0,RAND(),RAND()-1)</f>
        <v>0.39218118769299171</v>
      </c>
      <c r="B1817" s="2" t="e">
        <f t="shared" ca="1" si="36"/>
        <v>#N/A</v>
      </c>
      <c r="C1817" s="1">
        <v>1817</v>
      </c>
      <c r="D1817" s="1" t="s">
        <v>3572</v>
      </c>
      <c r="E1817" s="1" t="s">
        <v>3573</v>
      </c>
    </row>
    <row r="1818" spans="1:5" ht="25">
      <c r="A1818" s="2">
        <f ca="1">IF(COUNTIF($AA$1:$BXX$24,1818) = 0,RAND(),RAND()-1)</f>
        <v>0.57338269468555814</v>
      </c>
      <c r="B1818" s="2" t="e">
        <f t="shared" ca="1" si="36"/>
        <v>#N/A</v>
      </c>
      <c r="C1818" s="1">
        <v>1818</v>
      </c>
      <c r="D1818" s="1" t="s">
        <v>3574</v>
      </c>
      <c r="E1818" s="1" t="s">
        <v>3575</v>
      </c>
    </row>
    <row r="1819" spans="1:5" ht="25">
      <c r="A1819" s="2">
        <f ca="1">IF(COUNTIF($AA$1:$BXX$24,1819) = 0,RAND(),RAND()-1)</f>
        <v>0.37848824614290799</v>
      </c>
      <c r="B1819" s="2" t="e">
        <f t="shared" ca="1" si="36"/>
        <v>#N/A</v>
      </c>
      <c r="C1819" s="1">
        <v>1819</v>
      </c>
      <c r="D1819" s="1" t="s">
        <v>3576</v>
      </c>
      <c r="E1819" s="1" t="s">
        <v>1007</v>
      </c>
    </row>
    <row r="1820" spans="1:5" ht="25">
      <c r="A1820" s="2">
        <f ca="1">IF(COUNTIF($AA$1:$BXX$24,1820) = 0,RAND(),RAND()-1)</f>
        <v>0.24430423790643119</v>
      </c>
      <c r="B1820" s="2" t="e">
        <f t="shared" ca="1" si="36"/>
        <v>#N/A</v>
      </c>
      <c r="C1820" s="1">
        <v>1820</v>
      </c>
      <c r="D1820" s="1" t="s">
        <v>3577</v>
      </c>
      <c r="E1820" s="1" t="s">
        <v>3578</v>
      </c>
    </row>
    <row r="1821" spans="1:5" ht="25">
      <c r="A1821" s="2">
        <f ca="1">IF(COUNTIF($AA$1:$BXX$24,1821) = 0,RAND(),RAND()-1)</f>
        <v>8.9725781117458103E-2</v>
      </c>
      <c r="B1821" s="2" t="e">
        <f t="shared" ca="1" si="36"/>
        <v>#N/A</v>
      </c>
      <c r="C1821" s="1">
        <v>1821</v>
      </c>
      <c r="D1821" s="1" t="s">
        <v>3579</v>
      </c>
      <c r="E1821" s="1" t="s">
        <v>3580</v>
      </c>
    </row>
    <row r="1822" spans="1:5" ht="25">
      <c r="A1822" s="2">
        <f ca="1">IF(COUNTIF($AA$1:$BXX$24,1822) = 0,RAND(),RAND()-1)</f>
        <v>0.74874350122697475</v>
      </c>
      <c r="B1822" s="2" t="e">
        <f t="shared" ca="1" si="36"/>
        <v>#N/A</v>
      </c>
      <c r="C1822" s="1">
        <v>1822</v>
      </c>
      <c r="D1822" s="1" t="s">
        <v>3581</v>
      </c>
      <c r="E1822" s="1" t="s">
        <v>2590</v>
      </c>
    </row>
    <row r="1823" spans="1:5" ht="25">
      <c r="A1823" s="2">
        <f ca="1">IF(COUNTIF($AA$1:$BXX$24,1823) = 0,RAND(),RAND()-1)</f>
        <v>2.229124133450977E-2</v>
      </c>
      <c r="B1823" s="2" t="e">
        <f t="shared" ca="1" si="36"/>
        <v>#N/A</v>
      </c>
      <c r="C1823" s="1">
        <v>1823</v>
      </c>
      <c r="D1823" s="1" t="s">
        <v>3582</v>
      </c>
      <c r="E1823" s="1" t="s">
        <v>1912</v>
      </c>
    </row>
    <row r="1824" spans="1:5" ht="25">
      <c r="A1824" s="2">
        <f ca="1">IF(COUNTIF($AA$1:$BXX$24,1824) = 0,RAND(),RAND()-1)</f>
        <v>0.15879336885330053</v>
      </c>
      <c r="B1824" s="2" t="e">
        <f t="shared" ca="1" si="36"/>
        <v>#N/A</v>
      </c>
      <c r="C1824" s="1">
        <v>1824</v>
      </c>
      <c r="D1824" s="1" t="s">
        <v>3583</v>
      </c>
      <c r="E1824" s="1" t="s">
        <v>3584</v>
      </c>
    </row>
    <row r="1825" spans="1:5" ht="25">
      <c r="A1825" s="2">
        <f ca="1">IF(COUNTIF($AA$1:$BXX$24,1825) = 0,RAND(),RAND()-1)</f>
        <v>0.37798265896885697</v>
      </c>
      <c r="B1825" s="2" t="e">
        <f t="shared" ca="1" si="36"/>
        <v>#N/A</v>
      </c>
      <c r="C1825" s="1">
        <v>1825</v>
      </c>
      <c r="D1825" s="1" t="s">
        <v>3585</v>
      </c>
      <c r="E1825" s="1" t="s">
        <v>3586</v>
      </c>
    </row>
    <row r="1826" spans="1:5" ht="25">
      <c r="A1826" s="2">
        <f ca="1">IF(COUNTIF($AA$1:$BXX$24,1826) = 0,RAND(),RAND()-1)</f>
        <v>0.16877657262563495</v>
      </c>
      <c r="B1826" s="2" t="e">
        <f t="shared" ca="1" si="36"/>
        <v>#N/A</v>
      </c>
      <c r="C1826" s="1">
        <v>1826</v>
      </c>
      <c r="D1826" s="1" t="s">
        <v>3587</v>
      </c>
      <c r="E1826" s="1" t="s">
        <v>3588</v>
      </c>
    </row>
    <row r="1827" spans="1:5" ht="25">
      <c r="A1827" s="2">
        <f ca="1">IF(COUNTIF($AA$1:$BXX$24,1827) = 0,RAND(),RAND()-1)</f>
        <v>0.44970578410292461</v>
      </c>
      <c r="B1827" s="2" t="e">
        <f t="shared" ca="1" si="36"/>
        <v>#N/A</v>
      </c>
      <c r="C1827" s="1">
        <v>1827</v>
      </c>
      <c r="D1827" s="1" t="s">
        <v>3589</v>
      </c>
      <c r="E1827" s="1" t="s">
        <v>3590</v>
      </c>
    </row>
    <row r="1828" spans="1:5" ht="25">
      <c r="A1828" s="2">
        <f ca="1">IF(COUNTIF($AA$1:$BXX$24,1828) = 0,RAND(),RAND()-1)</f>
        <v>0.62357913046801305</v>
      </c>
      <c r="B1828" s="2" t="e">
        <f t="shared" ca="1" si="36"/>
        <v>#N/A</v>
      </c>
      <c r="C1828" s="1">
        <v>1828</v>
      </c>
      <c r="D1828" s="1" t="s">
        <v>3591</v>
      </c>
      <c r="E1828" s="1" t="s">
        <v>3592</v>
      </c>
    </row>
    <row r="1829" spans="1:5" ht="25">
      <c r="A1829" s="2">
        <f ca="1">IF(COUNTIF($AA$1:$BXX$24,1829) = 0,RAND(),RAND()-1)</f>
        <v>0.43728475553801627</v>
      </c>
      <c r="B1829" s="2" t="e">
        <f t="shared" ca="1" si="36"/>
        <v>#N/A</v>
      </c>
      <c r="C1829" s="1">
        <v>1829</v>
      </c>
      <c r="D1829" s="1" t="s">
        <v>3593</v>
      </c>
      <c r="E1829" s="1" t="s">
        <v>1043</v>
      </c>
    </row>
    <row r="1830" spans="1:5" ht="25">
      <c r="A1830" s="2">
        <f ca="1">IF(COUNTIF($AA$1:$BXX$24,1830) = 0,RAND(),RAND()-1)</f>
        <v>0.36768141857292669</v>
      </c>
      <c r="B1830" s="2" t="e">
        <f t="shared" ca="1" si="36"/>
        <v>#N/A</v>
      </c>
      <c r="C1830" s="1">
        <v>1830</v>
      </c>
      <c r="D1830" s="1" t="s">
        <v>3594</v>
      </c>
      <c r="E1830" s="1" t="s">
        <v>3595</v>
      </c>
    </row>
    <row r="1831" spans="1:5" ht="25">
      <c r="A1831" s="2">
        <f ca="1">IF(COUNTIF($AA$1:$BXX$24,1831) = 0,RAND(),RAND()-1)</f>
        <v>0.56271464608710331</v>
      </c>
      <c r="B1831" s="2" t="e">
        <f t="shared" ca="1" si="36"/>
        <v>#N/A</v>
      </c>
      <c r="C1831" s="1">
        <v>1831</v>
      </c>
      <c r="D1831" s="1" t="s">
        <v>3596</v>
      </c>
      <c r="E1831" s="1" t="s">
        <v>3597</v>
      </c>
    </row>
    <row r="1832" spans="1:5" ht="25">
      <c r="A1832" s="2">
        <f ca="1">IF(COUNTIF($AA$1:$BXX$24,1832) = 0,RAND(),RAND()-1)</f>
        <v>0.17449211309284918</v>
      </c>
      <c r="B1832" s="2" t="e">
        <f t="shared" ca="1" si="36"/>
        <v>#N/A</v>
      </c>
      <c r="C1832" s="1">
        <v>1832</v>
      </c>
      <c r="D1832" s="1" t="s">
        <v>3598</v>
      </c>
      <c r="E1832" s="1" t="s">
        <v>3599</v>
      </c>
    </row>
    <row r="1833" spans="1:5" ht="25">
      <c r="A1833" s="2">
        <f ca="1">IF(COUNTIF($AA$1:$BXX$24,1833) = 0,RAND(),RAND()-1)</f>
        <v>0.48088440694862045</v>
      </c>
      <c r="B1833" s="2" t="e">
        <f t="shared" ca="1" si="36"/>
        <v>#N/A</v>
      </c>
      <c r="C1833" s="1">
        <v>1833</v>
      </c>
      <c r="D1833" s="1" t="s">
        <v>3600</v>
      </c>
      <c r="E1833" s="1" t="s">
        <v>3601</v>
      </c>
    </row>
    <row r="1834" spans="1:5" ht="25">
      <c r="A1834" s="2">
        <f ca="1">IF(COUNTIF($AA$1:$BXX$24,1834) = 0,RAND(),RAND()-1)</f>
        <v>0.73936610914761991</v>
      </c>
      <c r="B1834" s="2" t="e">
        <f t="shared" ca="1" si="36"/>
        <v>#N/A</v>
      </c>
      <c r="C1834" s="1">
        <v>1834</v>
      </c>
      <c r="D1834" s="1" t="s">
        <v>3602</v>
      </c>
      <c r="E1834" s="1" t="s">
        <v>3603</v>
      </c>
    </row>
    <row r="1835" spans="1:5" ht="25">
      <c r="A1835" s="2">
        <f ca="1">IF(COUNTIF($AA$1:$BXX$24,1835) = 0,RAND(),RAND()-1)</f>
        <v>0.26311414637793396</v>
      </c>
      <c r="B1835" s="2" t="e">
        <f t="shared" ca="1" si="36"/>
        <v>#N/A</v>
      </c>
      <c r="C1835" s="1">
        <v>1835</v>
      </c>
      <c r="D1835" s="1" t="s">
        <v>3604</v>
      </c>
      <c r="E1835" s="1" t="s">
        <v>3605</v>
      </c>
    </row>
    <row r="1836" spans="1:5" ht="25">
      <c r="A1836" s="2">
        <f ca="1">IF(COUNTIF($AA$1:$BXX$24,1836) = 0,RAND(),RAND()-1)</f>
        <v>0.65439340261706536</v>
      </c>
      <c r="B1836" s="2" t="e">
        <f t="shared" ca="1" si="36"/>
        <v>#N/A</v>
      </c>
      <c r="C1836" s="1">
        <v>1836</v>
      </c>
      <c r="D1836" s="1" t="s">
        <v>3606</v>
      </c>
      <c r="E1836" s="1" t="s">
        <v>3607</v>
      </c>
    </row>
    <row r="1837" spans="1:5" ht="25">
      <c r="A1837" s="2">
        <f ca="1">IF(COUNTIF($AA$1:$BXX$24,1837) = 0,RAND(),RAND()-1)</f>
        <v>0.9822172248762866</v>
      </c>
      <c r="B1837" s="2" t="e">
        <f t="shared" ca="1" si="36"/>
        <v>#N/A</v>
      </c>
      <c r="C1837" s="1">
        <v>1837</v>
      </c>
      <c r="D1837" s="1" t="s">
        <v>3608</v>
      </c>
      <c r="E1837" s="1" t="s">
        <v>3609</v>
      </c>
    </row>
    <row r="1838" spans="1:5" ht="25">
      <c r="A1838" s="2">
        <f ca="1">IF(COUNTIF($AA$1:$BXX$24,1838) = 0,RAND(),RAND()-1)</f>
        <v>0.12255349098991075</v>
      </c>
      <c r="B1838" s="2" t="e">
        <f t="shared" ca="1" si="36"/>
        <v>#N/A</v>
      </c>
      <c r="C1838" s="1">
        <v>1838</v>
      </c>
      <c r="D1838" s="1" t="s">
        <v>3610</v>
      </c>
      <c r="E1838" s="1" t="s">
        <v>3611</v>
      </c>
    </row>
    <row r="1839" spans="1:5" ht="25">
      <c r="A1839" s="2">
        <f ca="1">IF(COUNTIF($AA$1:$BXX$24,1839) = 0,RAND(),RAND()-1)</f>
        <v>0.16612671213458574</v>
      </c>
      <c r="B1839" s="2" t="e">
        <f t="shared" ca="1" si="36"/>
        <v>#N/A</v>
      </c>
      <c r="C1839" s="1">
        <v>1839</v>
      </c>
      <c r="D1839" s="1" t="s">
        <v>3612</v>
      </c>
      <c r="E1839" s="1" t="s">
        <v>2110</v>
      </c>
    </row>
    <row r="1840" spans="1:5" ht="25">
      <c r="A1840" s="2">
        <f ca="1">IF(COUNTIF($AA$1:$BXX$24,1840) = 0,RAND(),RAND()-1)</f>
        <v>0.2038811468309546</v>
      </c>
      <c r="B1840" s="2" t="e">
        <f t="shared" ca="1" si="36"/>
        <v>#N/A</v>
      </c>
      <c r="C1840" s="1">
        <v>1840</v>
      </c>
      <c r="D1840" s="1" t="s">
        <v>3613</v>
      </c>
      <c r="E1840" s="1" t="s">
        <v>3614</v>
      </c>
    </row>
    <row r="1841" spans="1:5" ht="25">
      <c r="A1841" s="2">
        <f ca="1">IF(COUNTIF($AA$1:$BXX$24,1841) = 0,RAND(),RAND()-1)</f>
        <v>0.52182420542544783</v>
      </c>
      <c r="B1841" s="2" t="e">
        <f t="shared" ca="1" si="36"/>
        <v>#N/A</v>
      </c>
      <c r="C1841" s="1">
        <v>1841</v>
      </c>
      <c r="D1841" s="1" t="s">
        <v>3615</v>
      </c>
      <c r="E1841" s="1" t="s">
        <v>3616</v>
      </c>
    </row>
    <row r="1842" spans="1:5" ht="25">
      <c r="A1842" s="2">
        <f ca="1">IF(COUNTIF($AA$1:$BXX$24,1842) = 0,RAND(),RAND()-1)</f>
        <v>0.95793077060347331</v>
      </c>
      <c r="B1842" s="2" t="e">
        <f t="shared" ca="1" si="36"/>
        <v>#N/A</v>
      </c>
      <c r="C1842" s="1">
        <v>1842</v>
      </c>
      <c r="D1842" s="1" t="s">
        <v>3617</v>
      </c>
      <c r="E1842" s="1" t="s">
        <v>3618</v>
      </c>
    </row>
    <row r="1843" spans="1:5" ht="25">
      <c r="A1843" s="2">
        <f ca="1">IF(COUNTIF($AA$1:$BXX$24,1843) = 0,RAND(),RAND()-1)</f>
        <v>0.81791303876273047</v>
      </c>
      <c r="B1843" s="2" t="e">
        <f t="shared" ca="1" si="36"/>
        <v>#N/A</v>
      </c>
      <c r="C1843" s="1">
        <v>1843</v>
      </c>
      <c r="D1843" s="1" t="s">
        <v>3619</v>
      </c>
      <c r="E1843" s="1" t="s">
        <v>3620</v>
      </c>
    </row>
    <row r="1844" spans="1:5" ht="25">
      <c r="A1844" s="2">
        <f ca="1">IF(COUNTIF($AA$1:$BXX$24,1844) = 0,RAND(),RAND()-1)</f>
        <v>0.98367204808071806</v>
      </c>
      <c r="B1844" s="2" t="e">
        <f t="shared" ca="1" si="36"/>
        <v>#N/A</v>
      </c>
      <c r="C1844" s="1">
        <v>1844</v>
      </c>
      <c r="D1844" s="1" t="s">
        <v>3621</v>
      </c>
      <c r="E1844" s="1" t="s">
        <v>3622</v>
      </c>
    </row>
    <row r="1845" spans="1:5" ht="25">
      <c r="A1845" s="2">
        <f ca="1">IF(COUNTIF($AA$1:$BXX$24,1845) = 0,RAND(),RAND()-1)</f>
        <v>0.44308208259479132</v>
      </c>
      <c r="B1845" s="2" t="e">
        <f t="shared" ca="1" si="36"/>
        <v>#N/A</v>
      </c>
      <c r="C1845" s="1">
        <v>1845</v>
      </c>
      <c r="D1845" s="1" t="s">
        <v>3623</v>
      </c>
      <c r="E1845" s="1" t="s">
        <v>3624</v>
      </c>
    </row>
    <row r="1846" spans="1:5" ht="25">
      <c r="A1846" s="2">
        <f ca="1">IF(COUNTIF($AA$1:$BXX$24,1846) = 0,RAND(),RAND()-1)</f>
        <v>0.17517617983003475</v>
      </c>
      <c r="B1846" s="2" t="e">
        <f t="shared" ca="1" si="36"/>
        <v>#N/A</v>
      </c>
      <c r="C1846" s="1">
        <v>1846</v>
      </c>
      <c r="D1846" s="1" t="s">
        <v>3625</v>
      </c>
      <c r="E1846" s="1" t="s">
        <v>3626</v>
      </c>
    </row>
    <row r="1847" spans="1:5" ht="25">
      <c r="A1847" s="2">
        <f ca="1">IF(COUNTIF($AA$1:$BXX$24,1847) = 0,RAND(),RAND()-1)</f>
        <v>0.17680494386584644</v>
      </c>
      <c r="B1847" s="2" t="e">
        <f t="shared" ca="1" si="36"/>
        <v>#N/A</v>
      </c>
      <c r="C1847" s="1">
        <v>1847</v>
      </c>
      <c r="D1847" s="1" t="s">
        <v>3627</v>
      </c>
      <c r="E1847" s="1" t="s">
        <v>3628</v>
      </c>
    </row>
    <row r="1848" spans="1:5" ht="25">
      <c r="A1848" s="2">
        <f ca="1">IF(COUNTIF($AA$1:$BXX$24,1848) = 0,RAND(),RAND()-1)</f>
        <v>0.53568765880852665</v>
      </c>
      <c r="B1848" s="2" t="e">
        <f t="shared" ca="1" si="36"/>
        <v>#N/A</v>
      </c>
      <c r="C1848" s="1">
        <v>1848</v>
      </c>
      <c r="D1848" s="1" t="s">
        <v>3629</v>
      </c>
      <c r="E1848" s="1" t="s">
        <v>3630</v>
      </c>
    </row>
    <row r="1849" spans="1:5" ht="25">
      <c r="A1849" s="2">
        <f ca="1">IF(COUNTIF($AA$1:$BXX$24,1849) = 0,RAND(),RAND()-1)</f>
        <v>0.13760114788176725</v>
      </c>
      <c r="B1849" s="2" t="e">
        <f t="shared" ca="1" si="36"/>
        <v>#N/A</v>
      </c>
      <c r="C1849" s="1">
        <v>1849</v>
      </c>
      <c r="D1849" s="1" t="s">
        <v>3631</v>
      </c>
      <c r="E1849" s="1" t="s">
        <v>3632</v>
      </c>
    </row>
    <row r="1850" spans="1:5" ht="25">
      <c r="A1850" s="2">
        <f ca="1">IF(COUNTIF($AA$1:$BXX$24,1850) = 0,RAND(),RAND()-1)</f>
        <v>0.53419560270199129</v>
      </c>
      <c r="B1850" s="2" t="e">
        <f t="shared" ca="1" si="36"/>
        <v>#N/A</v>
      </c>
      <c r="C1850" s="1">
        <v>1850</v>
      </c>
      <c r="D1850" s="1" t="s">
        <v>3633</v>
      </c>
      <c r="E1850" s="1" t="s">
        <v>3634</v>
      </c>
    </row>
    <row r="1851" spans="1:5" ht="25">
      <c r="A1851" s="2">
        <f ca="1">IF(COUNTIF($AA$1:$BXX$24,1851) = 0,RAND(),RAND()-1)</f>
        <v>0.59282436085799228</v>
      </c>
      <c r="B1851" s="2" t="e">
        <f t="shared" ca="1" si="36"/>
        <v>#N/A</v>
      </c>
      <c r="C1851" s="1">
        <v>1851</v>
      </c>
      <c r="D1851" s="1" t="s">
        <v>3635</v>
      </c>
      <c r="E1851" s="1" t="s">
        <v>3636</v>
      </c>
    </row>
    <row r="1852" spans="1:5" ht="25">
      <c r="A1852" s="2">
        <f ca="1">IF(COUNTIF($AA$1:$BXX$24,1852) = 0,RAND(),RAND()-1)</f>
        <v>0.69827780316979982</v>
      </c>
      <c r="B1852" s="2" t="e">
        <f t="shared" ca="1" si="36"/>
        <v>#N/A</v>
      </c>
      <c r="C1852" s="1">
        <v>1852</v>
      </c>
      <c r="D1852" s="1" t="s">
        <v>3637</v>
      </c>
      <c r="E1852" s="1" t="s">
        <v>3638</v>
      </c>
    </row>
    <row r="1853" spans="1:5" ht="25">
      <c r="A1853" s="2">
        <f ca="1">IF(COUNTIF($AA$1:$BXX$24,1853) = 0,RAND(),RAND()-1)</f>
        <v>0.31572762057736392</v>
      </c>
      <c r="B1853" s="2" t="e">
        <f t="shared" ca="1" si="36"/>
        <v>#N/A</v>
      </c>
      <c r="C1853" s="1">
        <v>1853</v>
      </c>
      <c r="D1853" s="1" t="s">
        <v>3639</v>
      </c>
      <c r="E1853" s="1" t="s">
        <v>3640</v>
      </c>
    </row>
    <row r="1854" spans="1:5" ht="25">
      <c r="A1854" s="2">
        <f ca="1">IF(COUNTIF($AA$1:$BXX$24,1854) = 0,RAND(),RAND()-1)</f>
        <v>0.41226630163344891</v>
      </c>
      <c r="B1854" s="2" t="e">
        <f t="shared" ca="1" si="36"/>
        <v>#N/A</v>
      </c>
      <c r="C1854" s="1">
        <v>1854</v>
      </c>
      <c r="D1854" s="1" t="s">
        <v>3641</v>
      </c>
      <c r="E1854" s="1" t="s">
        <v>3642</v>
      </c>
    </row>
    <row r="1855" spans="1:5" ht="25">
      <c r="A1855" s="2">
        <f ca="1">IF(COUNTIF($AA$1:$BXX$24,1855) = 0,RAND(),RAND()-1)</f>
        <v>0.31273140377984476</v>
      </c>
      <c r="B1855" s="2" t="e">
        <f t="shared" ca="1" si="36"/>
        <v>#N/A</v>
      </c>
      <c r="C1855" s="1">
        <v>1855</v>
      </c>
      <c r="D1855" s="1" t="s">
        <v>3643</v>
      </c>
      <c r="E1855" s="1" t="s">
        <v>3644</v>
      </c>
    </row>
    <row r="1856" spans="1:5" ht="25">
      <c r="A1856" s="2">
        <f ca="1">IF(COUNTIF($AA$1:$BXX$24,1856) = 0,RAND(),RAND()-1)</f>
        <v>0.30725324359411865</v>
      </c>
      <c r="B1856" s="2" t="e">
        <f t="shared" ca="1" si="36"/>
        <v>#N/A</v>
      </c>
      <c r="C1856" s="1">
        <v>1856</v>
      </c>
      <c r="D1856" s="1" t="s">
        <v>3645</v>
      </c>
      <c r="E1856" s="1" t="s">
        <v>3646</v>
      </c>
    </row>
    <row r="1857" spans="1:5" ht="25">
      <c r="A1857" s="2">
        <f ca="1">IF(COUNTIF($AA$1:$BXX$24,1857) = 0,RAND(),RAND()-1)</f>
        <v>0.37774187743649401</v>
      </c>
      <c r="B1857" s="2" t="e">
        <f t="shared" ref="B1857:B1920" ca="1" si="37">RANK(A1857,OFFSET($A$1,$G$1-1,0,$G$2-$G$1+1))</f>
        <v>#N/A</v>
      </c>
      <c r="C1857" s="1">
        <v>1857</v>
      </c>
      <c r="D1857" s="1" t="s">
        <v>3647</v>
      </c>
      <c r="E1857" s="1" t="s">
        <v>3648</v>
      </c>
    </row>
    <row r="1858" spans="1:5" ht="25">
      <c r="A1858" s="2">
        <f ca="1">IF(COUNTIF($AA$1:$BXX$24,1858) = 0,RAND(),RAND()-1)</f>
        <v>0.77046165613605178</v>
      </c>
      <c r="B1858" s="2" t="e">
        <f t="shared" ca="1" si="37"/>
        <v>#N/A</v>
      </c>
      <c r="C1858" s="1">
        <v>1858</v>
      </c>
      <c r="D1858" s="1" t="s">
        <v>3649</v>
      </c>
      <c r="E1858" s="1" t="s">
        <v>3650</v>
      </c>
    </row>
    <row r="1859" spans="1:5" ht="25">
      <c r="A1859" s="2">
        <f ca="1">IF(COUNTIF($AA$1:$BXX$24,1859) = 0,RAND(),RAND()-1)</f>
        <v>0.96974954306191352</v>
      </c>
      <c r="B1859" s="2" t="e">
        <f t="shared" ca="1" si="37"/>
        <v>#N/A</v>
      </c>
      <c r="C1859" s="1">
        <v>1859</v>
      </c>
      <c r="D1859" s="1" t="s">
        <v>3651</v>
      </c>
      <c r="E1859" s="1" t="s">
        <v>3652</v>
      </c>
    </row>
    <row r="1860" spans="1:5" ht="25">
      <c r="A1860" s="2">
        <f ca="1">IF(COUNTIF($AA$1:$BXX$24,1860) = 0,RAND(),RAND()-1)</f>
        <v>0.10170723612514287</v>
      </c>
      <c r="B1860" s="2" t="e">
        <f t="shared" ca="1" si="37"/>
        <v>#N/A</v>
      </c>
      <c r="C1860" s="1">
        <v>1860</v>
      </c>
      <c r="D1860" s="1" t="s">
        <v>3653</v>
      </c>
      <c r="E1860" s="1" t="s">
        <v>3654</v>
      </c>
    </row>
    <row r="1861" spans="1:5" ht="25">
      <c r="A1861" s="2">
        <f ca="1">IF(COUNTIF($AA$1:$BXX$24,1861) = 0,RAND(),RAND()-1)</f>
        <v>0.87724888343849261</v>
      </c>
      <c r="B1861" s="2" t="e">
        <f t="shared" ca="1" si="37"/>
        <v>#N/A</v>
      </c>
      <c r="C1861" s="1">
        <v>1861</v>
      </c>
      <c r="D1861" s="1" t="s">
        <v>3655</v>
      </c>
      <c r="E1861" s="1" t="s">
        <v>3656</v>
      </c>
    </row>
    <row r="1862" spans="1:5" ht="25">
      <c r="A1862" s="2">
        <f ca="1">IF(COUNTIF($AA$1:$BXX$24,1862) = 0,RAND(),RAND()-1)</f>
        <v>0.89099308135814381</v>
      </c>
      <c r="B1862" s="2" t="e">
        <f t="shared" ca="1" si="37"/>
        <v>#N/A</v>
      </c>
      <c r="C1862" s="1">
        <v>1862</v>
      </c>
      <c r="D1862" s="1" t="s">
        <v>3657</v>
      </c>
      <c r="E1862" s="1" t="s">
        <v>3658</v>
      </c>
    </row>
    <row r="1863" spans="1:5" ht="25">
      <c r="A1863" s="2">
        <f ca="1">IF(COUNTIF($AA$1:$BXX$24,1863) = 0,RAND(),RAND()-1)</f>
        <v>4.7118798470033196E-2</v>
      </c>
      <c r="B1863" s="2" t="e">
        <f t="shared" ca="1" si="37"/>
        <v>#N/A</v>
      </c>
      <c r="C1863" s="1">
        <v>1863</v>
      </c>
      <c r="D1863" s="1" t="s">
        <v>3659</v>
      </c>
      <c r="E1863" s="1" t="s">
        <v>3660</v>
      </c>
    </row>
    <row r="1864" spans="1:5" ht="25">
      <c r="A1864" s="2">
        <f ca="1">IF(COUNTIF($AA$1:$BXX$24,1864) = 0,RAND(),RAND()-1)</f>
        <v>0.34665984928895854</v>
      </c>
      <c r="B1864" s="2" t="e">
        <f t="shared" ca="1" si="37"/>
        <v>#N/A</v>
      </c>
      <c r="C1864" s="1">
        <v>1864</v>
      </c>
      <c r="D1864" s="1" t="s">
        <v>3661</v>
      </c>
      <c r="E1864" s="1" t="s">
        <v>3662</v>
      </c>
    </row>
    <row r="1865" spans="1:5" ht="25">
      <c r="A1865" s="2">
        <f ca="1">IF(COUNTIF($AA$1:$BXX$24,1865) = 0,RAND(),RAND()-1)</f>
        <v>0.95408377533774347</v>
      </c>
      <c r="B1865" s="2" t="e">
        <f t="shared" ca="1" si="37"/>
        <v>#N/A</v>
      </c>
      <c r="C1865" s="1">
        <v>1865</v>
      </c>
      <c r="D1865" s="1" t="s">
        <v>3663</v>
      </c>
      <c r="E1865" s="1" t="s">
        <v>3664</v>
      </c>
    </row>
    <row r="1866" spans="1:5" ht="25">
      <c r="A1866" s="2">
        <f ca="1">IF(COUNTIF($AA$1:$BXX$24,1866) = 0,RAND(),RAND()-1)</f>
        <v>0.48221234886773778</v>
      </c>
      <c r="B1866" s="2" t="e">
        <f t="shared" ca="1" si="37"/>
        <v>#N/A</v>
      </c>
      <c r="C1866" s="1">
        <v>1866</v>
      </c>
      <c r="D1866" s="1" t="s">
        <v>3665</v>
      </c>
      <c r="E1866" s="1" t="s">
        <v>447</v>
      </c>
    </row>
    <row r="1867" spans="1:5" ht="25">
      <c r="A1867" s="2">
        <f ca="1">IF(COUNTIF($AA$1:$BXX$24,1867) = 0,RAND(),RAND()-1)</f>
        <v>0.63297114272072474</v>
      </c>
      <c r="B1867" s="2" t="e">
        <f t="shared" ca="1" si="37"/>
        <v>#N/A</v>
      </c>
      <c r="C1867" s="1">
        <v>1867</v>
      </c>
      <c r="D1867" s="1" t="s">
        <v>3666</v>
      </c>
      <c r="E1867" s="1" t="s">
        <v>3667</v>
      </c>
    </row>
    <row r="1868" spans="1:5" ht="25">
      <c r="A1868" s="2">
        <f ca="1">IF(COUNTIF($AA$1:$BXX$24,1868) = 0,RAND(),RAND()-1)</f>
        <v>0.96857025695814214</v>
      </c>
      <c r="B1868" s="2" t="e">
        <f t="shared" ca="1" si="37"/>
        <v>#N/A</v>
      </c>
      <c r="C1868" s="1">
        <v>1868</v>
      </c>
      <c r="D1868" s="1" t="s">
        <v>3668</v>
      </c>
      <c r="E1868" s="1" t="s">
        <v>3669</v>
      </c>
    </row>
    <row r="1869" spans="1:5" ht="25">
      <c r="A1869" s="2">
        <f ca="1">IF(COUNTIF($AA$1:$BXX$24,1869) = 0,RAND(),RAND()-1)</f>
        <v>0.68262106203245576</v>
      </c>
      <c r="B1869" s="2" t="e">
        <f t="shared" ca="1" si="37"/>
        <v>#N/A</v>
      </c>
      <c r="C1869" s="1">
        <v>1869</v>
      </c>
      <c r="D1869" s="1" t="s">
        <v>3670</v>
      </c>
      <c r="E1869" s="1" t="s">
        <v>3671</v>
      </c>
    </row>
    <row r="1870" spans="1:5" ht="25">
      <c r="A1870" s="2">
        <f ca="1">IF(COUNTIF($AA$1:$BXX$24,1870) = 0,RAND(),RAND()-1)</f>
        <v>0.35247031496956371</v>
      </c>
      <c r="B1870" s="2" t="e">
        <f t="shared" ca="1" si="37"/>
        <v>#N/A</v>
      </c>
      <c r="C1870" s="1">
        <v>1870</v>
      </c>
      <c r="D1870" s="1" t="s">
        <v>3672</v>
      </c>
      <c r="E1870" s="1" t="s">
        <v>3673</v>
      </c>
    </row>
    <row r="1871" spans="1:5" ht="25">
      <c r="A1871" s="2">
        <f ca="1">IF(COUNTIF($AA$1:$BXX$24,1871) = 0,RAND(),RAND()-1)</f>
        <v>0.22725555795751906</v>
      </c>
      <c r="B1871" s="2" t="e">
        <f t="shared" ca="1" si="37"/>
        <v>#N/A</v>
      </c>
      <c r="C1871" s="1">
        <v>1871</v>
      </c>
      <c r="D1871" s="1" t="s">
        <v>3674</v>
      </c>
      <c r="E1871" s="1" t="s">
        <v>3675</v>
      </c>
    </row>
    <row r="1872" spans="1:5" ht="25">
      <c r="A1872" s="2">
        <f ca="1">IF(COUNTIF($AA$1:$BXX$24,1872) = 0,RAND(),RAND()-1)</f>
        <v>0.49714776501355895</v>
      </c>
      <c r="B1872" s="2" t="e">
        <f t="shared" ca="1" si="37"/>
        <v>#N/A</v>
      </c>
      <c r="C1872" s="1">
        <v>1872</v>
      </c>
      <c r="D1872" s="1" t="s">
        <v>3676</v>
      </c>
      <c r="E1872" s="1" t="s">
        <v>3677</v>
      </c>
    </row>
    <row r="1873" spans="1:5" ht="25">
      <c r="A1873" s="2">
        <f ca="1">IF(COUNTIF($AA$1:$BXX$24,1873) = 0,RAND(),RAND()-1)</f>
        <v>0.37829659665420456</v>
      </c>
      <c r="B1873" s="2" t="e">
        <f t="shared" ca="1" si="37"/>
        <v>#N/A</v>
      </c>
      <c r="C1873" s="1">
        <v>1873</v>
      </c>
      <c r="D1873" s="1" t="s">
        <v>3678</v>
      </c>
      <c r="E1873" s="1" t="s">
        <v>3679</v>
      </c>
    </row>
    <row r="1874" spans="1:5" ht="25">
      <c r="A1874" s="2">
        <f ca="1">IF(COUNTIF($AA$1:$BXX$24,1874) = 0,RAND(),RAND()-1)</f>
        <v>0.7238647707385879</v>
      </c>
      <c r="B1874" s="2" t="e">
        <f t="shared" ca="1" si="37"/>
        <v>#N/A</v>
      </c>
      <c r="C1874" s="1">
        <v>1874</v>
      </c>
      <c r="D1874" s="1" t="s">
        <v>3680</v>
      </c>
      <c r="E1874" s="1" t="s">
        <v>3681</v>
      </c>
    </row>
    <row r="1875" spans="1:5" ht="25">
      <c r="A1875" s="2">
        <f ca="1">IF(COUNTIF($AA$1:$BXX$24,1875) = 0,RAND(),RAND()-1)</f>
        <v>0.21001434599015079</v>
      </c>
      <c r="B1875" s="2" t="e">
        <f t="shared" ca="1" si="37"/>
        <v>#N/A</v>
      </c>
      <c r="C1875" s="1">
        <v>1875</v>
      </c>
      <c r="D1875" s="1" t="s">
        <v>3682</v>
      </c>
      <c r="E1875" s="1" t="s">
        <v>3683</v>
      </c>
    </row>
    <row r="1876" spans="1:5" ht="25">
      <c r="A1876" s="2">
        <f ca="1">IF(COUNTIF($AA$1:$BXX$24,1876) = 0,RAND(),RAND()-1)</f>
        <v>0.8512438561944573</v>
      </c>
      <c r="B1876" s="2" t="e">
        <f t="shared" ca="1" si="37"/>
        <v>#N/A</v>
      </c>
      <c r="C1876" s="1">
        <v>1876</v>
      </c>
      <c r="D1876" s="1" t="s">
        <v>3684</v>
      </c>
      <c r="E1876" s="1" t="s">
        <v>3685</v>
      </c>
    </row>
    <row r="1877" spans="1:5" ht="25">
      <c r="A1877" s="2">
        <f ca="1">IF(COUNTIF($AA$1:$BXX$24,1877) = 0,RAND(),RAND()-1)</f>
        <v>0.50035920291222424</v>
      </c>
      <c r="B1877" s="2" t="e">
        <f t="shared" ca="1" si="37"/>
        <v>#N/A</v>
      </c>
      <c r="C1877" s="1">
        <v>1877</v>
      </c>
      <c r="D1877" s="1" t="s">
        <v>3686</v>
      </c>
      <c r="E1877" s="1" t="s">
        <v>3687</v>
      </c>
    </row>
    <row r="1878" spans="1:5" ht="25">
      <c r="A1878" s="2">
        <f ca="1">IF(COUNTIF($AA$1:$BXX$24,1878) = 0,RAND(),RAND()-1)</f>
        <v>0.63571795834750966</v>
      </c>
      <c r="B1878" s="2" t="e">
        <f t="shared" ca="1" si="37"/>
        <v>#N/A</v>
      </c>
      <c r="C1878" s="1">
        <v>1878</v>
      </c>
      <c r="D1878" s="1" t="s">
        <v>3688</v>
      </c>
      <c r="E1878" s="1" t="s">
        <v>3689</v>
      </c>
    </row>
    <row r="1879" spans="1:5" ht="25">
      <c r="A1879" s="2">
        <f ca="1">IF(COUNTIF($AA$1:$BXX$24,1879) = 0,RAND(),RAND()-1)</f>
        <v>0.16750891446283789</v>
      </c>
      <c r="B1879" s="2" t="e">
        <f t="shared" ca="1" si="37"/>
        <v>#N/A</v>
      </c>
      <c r="C1879" s="1">
        <v>1879</v>
      </c>
      <c r="D1879" s="1" t="s">
        <v>3690</v>
      </c>
      <c r="E1879" s="1" t="s">
        <v>3691</v>
      </c>
    </row>
    <row r="1880" spans="1:5" ht="25">
      <c r="A1880" s="2">
        <f ca="1">IF(COUNTIF($AA$1:$BXX$24,1880) = 0,RAND(),RAND()-1)</f>
        <v>3.5276189252330892E-2</v>
      </c>
      <c r="B1880" s="2" t="e">
        <f t="shared" ca="1" si="37"/>
        <v>#N/A</v>
      </c>
      <c r="C1880" s="1">
        <v>1880</v>
      </c>
      <c r="D1880" s="1" t="s">
        <v>3692</v>
      </c>
      <c r="E1880" s="1" t="s">
        <v>1513</v>
      </c>
    </row>
    <row r="1881" spans="1:5" ht="25">
      <c r="A1881" s="2">
        <f ca="1">IF(COUNTIF($AA$1:$BXX$24,1881) = 0,RAND(),RAND()-1)</f>
        <v>0.5785188321634569</v>
      </c>
      <c r="B1881" s="2" t="e">
        <f t="shared" ca="1" si="37"/>
        <v>#N/A</v>
      </c>
      <c r="C1881" s="1">
        <v>1881</v>
      </c>
      <c r="D1881" s="1" t="s">
        <v>3693</v>
      </c>
      <c r="E1881" s="1" t="s">
        <v>3694</v>
      </c>
    </row>
    <row r="1882" spans="1:5" ht="25">
      <c r="A1882" s="2">
        <f ca="1">IF(COUNTIF($AA$1:$BXX$24,1882) = 0,RAND(),RAND()-1)</f>
        <v>0.20142919772933821</v>
      </c>
      <c r="B1882" s="2" t="e">
        <f t="shared" ca="1" si="37"/>
        <v>#N/A</v>
      </c>
      <c r="C1882" s="1">
        <v>1882</v>
      </c>
      <c r="D1882" s="1" t="s">
        <v>3695</v>
      </c>
      <c r="E1882" s="1" t="s">
        <v>2538</v>
      </c>
    </row>
    <row r="1883" spans="1:5" ht="25">
      <c r="A1883" s="2">
        <f ca="1">IF(COUNTIF($AA$1:$BXX$24,1883) = 0,RAND(),RAND()-1)</f>
        <v>0.60636364035549739</v>
      </c>
      <c r="B1883" s="2" t="e">
        <f t="shared" ca="1" si="37"/>
        <v>#N/A</v>
      </c>
      <c r="C1883" s="1">
        <v>1883</v>
      </c>
      <c r="D1883" s="1" t="s">
        <v>3696</v>
      </c>
      <c r="E1883" s="1" t="s">
        <v>3697</v>
      </c>
    </row>
    <row r="1884" spans="1:5" ht="25">
      <c r="A1884" s="2">
        <f ca="1">IF(COUNTIF($AA$1:$BXX$24,1884) = 0,RAND(),RAND()-1)</f>
        <v>0.10719076963253471</v>
      </c>
      <c r="B1884" s="2" t="e">
        <f t="shared" ca="1" si="37"/>
        <v>#N/A</v>
      </c>
      <c r="C1884" s="1">
        <v>1884</v>
      </c>
      <c r="D1884" s="1" t="s">
        <v>3698</v>
      </c>
      <c r="E1884" s="1" t="s">
        <v>3699</v>
      </c>
    </row>
    <row r="1885" spans="1:5" ht="25">
      <c r="A1885" s="2">
        <f ca="1">IF(COUNTIF($AA$1:$BXX$24,1885) = 0,RAND(),RAND()-1)</f>
        <v>0.83582739859352351</v>
      </c>
      <c r="B1885" s="2" t="e">
        <f t="shared" ca="1" si="37"/>
        <v>#N/A</v>
      </c>
      <c r="C1885" s="1">
        <v>1885</v>
      </c>
      <c r="D1885" s="1" t="s">
        <v>3700</v>
      </c>
      <c r="E1885" s="1" t="s">
        <v>1978</v>
      </c>
    </row>
    <row r="1886" spans="1:5" ht="25">
      <c r="A1886" s="2">
        <f ca="1">IF(COUNTIF($AA$1:$BXX$24,1886) = 0,RAND(),RAND()-1)</f>
        <v>0.68692793880757974</v>
      </c>
      <c r="B1886" s="2" t="e">
        <f t="shared" ca="1" si="37"/>
        <v>#N/A</v>
      </c>
      <c r="C1886" s="1">
        <v>1886</v>
      </c>
      <c r="D1886" s="1" t="s">
        <v>3701</v>
      </c>
      <c r="E1886" s="1" t="s">
        <v>3702</v>
      </c>
    </row>
    <row r="1887" spans="1:5" ht="25">
      <c r="A1887" s="2">
        <f ca="1">IF(COUNTIF($AA$1:$BXX$24,1887) = 0,RAND(),RAND()-1)</f>
        <v>4.6168058274762558E-2</v>
      </c>
      <c r="B1887" s="2" t="e">
        <f t="shared" ca="1" si="37"/>
        <v>#N/A</v>
      </c>
      <c r="C1887" s="1">
        <v>1887</v>
      </c>
      <c r="D1887" s="1" t="s">
        <v>3703</v>
      </c>
      <c r="E1887" s="1" t="s">
        <v>3704</v>
      </c>
    </row>
    <row r="1888" spans="1:5" ht="25">
      <c r="A1888" s="2">
        <f ca="1">IF(COUNTIF($AA$1:$BXX$24,1888) = 0,RAND(),RAND()-1)</f>
        <v>0.29653273450448714</v>
      </c>
      <c r="B1888" s="2" t="e">
        <f t="shared" ca="1" si="37"/>
        <v>#N/A</v>
      </c>
      <c r="C1888" s="1">
        <v>1888</v>
      </c>
      <c r="D1888" s="1" t="s">
        <v>3705</v>
      </c>
      <c r="E1888" s="1" t="s">
        <v>3706</v>
      </c>
    </row>
    <row r="1889" spans="1:5" ht="25">
      <c r="A1889" s="2">
        <f ca="1">IF(COUNTIF($AA$1:$BXX$24,1889) = 0,RAND(),RAND()-1)</f>
        <v>2.0175926317535842E-2</v>
      </c>
      <c r="B1889" s="2" t="e">
        <f t="shared" ca="1" si="37"/>
        <v>#N/A</v>
      </c>
      <c r="C1889" s="1">
        <v>1889</v>
      </c>
      <c r="D1889" s="1" t="s">
        <v>3707</v>
      </c>
      <c r="E1889" s="1" t="s">
        <v>3708</v>
      </c>
    </row>
    <row r="1890" spans="1:5" ht="25">
      <c r="A1890" s="2">
        <f ca="1">IF(COUNTIF($AA$1:$BXX$24,1890) = 0,RAND(),RAND()-1)</f>
        <v>0.10648956165580692</v>
      </c>
      <c r="B1890" s="2" t="e">
        <f t="shared" ca="1" si="37"/>
        <v>#N/A</v>
      </c>
      <c r="C1890" s="1">
        <v>1890</v>
      </c>
      <c r="D1890" s="1" t="s">
        <v>3709</v>
      </c>
      <c r="E1890" s="1" t="s">
        <v>3710</v>
      </c>
    </row>
    <row r="1891" spans="1:5" ht="25">
      <c r="A1891" s="2">
        <f ca="1">IF(COUNTIF($AA$1:$BXX$24,1891) = 0,RAND(),RAND()-1)</f>
        <v>0.161266333801381</v>
      </c>
      <c r="B1891" s="2" t="e">
        <f t="shared" ca="1" si="37"/>
        <v>#N/A</v>
      </c>
      <c r="C1891" s="1">
        <v>1891</v>
      </c>
      <c r="D1891" s="1" t="s">
        <v>3711</v>
      </c>
      <c r="E1891" s="1" t="s">
        <v>3712</v>
      </c>
    </row>
    <row r="1892" spans="1:5" ht="25">
      <c r="A1892" s="2">
        <f ca="1">IF(COUNTIF($AA$1:$BXX$24,1892) = 0,RAND(),RAND()-1)</f>
        <v>0.50053402655319656</v>
      </c>
      <c r="B1892" s="2" t="e">
        <f t="shared" ca="1" si="37"/>
        <v>#N/A</v>
      </c>
      <c r="C1892" s="1">
        <v>1892</v>
      </c>
      <c r="D1892" s="1" t="s">
        <v>3713</v>
      </c>
      <c r="E1892" s="1" t="s">
        <v>3714</v>
      </c>
    </row>
    <row r="1893" spans="1:5" ht="25">
      <c r="A1893" s="2">
        <f ca="1">IF(COUNTIF($AA$1:$BXX$24,1893) = 0,RAND(),RAND()-1)</f>
        <v>0.86840735067047425</v>
      </c>
      <c r="B1893" s="2" t="e">
        <f t="shared" ca="1" si="37"/>
        <v>#N/A</v>
      </c>
      <c r="C1893" s="1">
        <v>1893</v>
      </c>
      <c r="D1893" s="1" t="s">
        <v>3715</v>
      </c>
      <c r="E1893" s="1" t="s">
        <v>3716</v>
      </c>
    </row>
    <row r="1894" spans="1:5" ht="25">
      <c r="A1894" s="2">
        <f ca="1">IF(COUNTIF($AA$1:$BXX$24,1894) = 0,RAND(),RAND()-1)</f>
        <v>0.5378402772583516</v>
      </c>
      <c r="B1894" s="2" t="e">
        <f t="shared" ca="1" si="37"/>
        <v>#N/A</v>
      </c>
      <c r="C1894" s="1">
        <v>1894</v>
      </c>
      <c r="D1894" s="1" t="s">
        <v>3717</v>
      </c>
      <c r="E1894" s="1" t="s">
        <v>3718</v>
      </c>
    </row>
    <row r="1895" spans="1:5" ht="25">
      <c r="A1895" s="2">
        <f ca="1">IF(COUNTIF($AA$1:$BXX$24,1895) = 0,RAND(),RAND()-1)</f>
        <v>0.95065433565694912</v>
      </c>
      <c r="B1895" s="2" t="e">
        <f t="shared" ca="1" si="37"/>
        <v>#N/A</v>
      </c>
      <c r="C1895" s="1">
        <v>1895</v>
      </c>
      <c r="D1895" s="1" t="s">
        <v>3719</v>
      </c>
      <c r="E1895" s="1" t="s">
        <v>3720</v>
      </c>
    </row>
    <row r="1896" spans="1:5" ht="25">
      <c r="A1896" s="2">
        <f ca="1">IF(COUNTIF($AA$1:$BXX$24,1896) = 0,RAND(),RAND()-1)</f>
        <v>0.34378828400131944</v>
      </c>
      <c r="B1896" s="2" t="e">
        <f t="shared" ca="1" si="37"/>
        <v>#N/A</v>
      </c>
      <c r="C1896" s="1">
        <v>1896</v>
      </c>
      <c r="D1896" s="1" t="s">
        <v>3721</v>
      </c>
      <c r="E1896" s="1" t="s">
        <v>3722</v>
      </c>
    </row>
    <row r="1897" spans="1:5" ht="25">
      <c r="A1897" s="2">
        <f ca="1">IF(COUNTIF($AA$1:$BXX$24,1897) = 0,RAND(),RAND()-1)</f>
        <v>0.95100019140414604</v>
      </c>
      <c r="B1897" s="2" t="e">
        <f t="shared" ca="1" si="37"/>
        <v>#N/A</v>
      </c>
      <c r="C1897" s="1">
        <v>1897</v>
      </c>
      <c r="D1897" s="1" t="s">
        <v>3723</v>
      </c>
      <c r="E1897" s="1" t="s">
        <v>3724</v>
      </c>
    </row>
    <row r="1898" spans="1:5" ht="25">
      <c r="A1898" s="2">
        <f ca="1">IF(COUNTIF($AA$1:$BXX$24,1898) = 0,RAND(),RAND()-1)</f>
        <v>0.61303068161765761</v>
      </c>
      <c r="B1898" s="2" t="e">
        <f t="shared" ca="1" si="37"/>
        <v>#N/A</v>
      </c>
      <c r="C1898" s="1">
        <v>1898</v>
      </c>
      <c r="D1898" s="1" t="s">
        <v>3725</v>
      </c>
      <c r="E1898" s="1" t="s">
        <v>3632</v>
      </c>
    </row>
    <row r="1899" spans="1:5" ht="25">
      <c r="A1899" s="2">
        <f ca="1">IF(COUNTIF($AA$1:$BXX$24,1899) = 0,RAND(),RAND()-1)</f>
        <v>0.70513784252704415</v>
      </c>
      <c r="B1899" s="2" t="e">
        <f t="shared" ca="1" si="37"/>
        <v>#N/A</v>
      </c>
      <c r="C1899" s="1">
        <v>1899</v>
      </c>
      <c r="D1899" s="1" t="s">
        <v>3726</v>
      </c>
      <c r="E1899" s="1" t="s">
        <v>3727</v>
      </c>
    </row>
    <row r="1900" spans="1:5" ht="25">
      <c r="A1900" s="2">
        <f ca="1">IF(COUNTIF($AA$1:$BXX$24,1900) = 0,RAND(),RAND()-1)</f>
        <v>0.39382398348766556</v>
      </c>
      <c r="B1900" s="2" t="e">
        <f t="shared" ca="1" si="37"/>
        <v>#N/A</v>
      </c>
      <c r="C1900" s="1">
        <v>1900</v>
      </c>
      <c r="D1900" s="1" t="s">
        <v>3728</v>
      </c>
      <c r="E1900" s="1" t="s">
        <v>3729</v>
      </c>
    </row>
    <row r="1901" spans="1:5" ht="25">
      <c r="A1901" s="2">
        <f ca="1">IF(COUNTIF($AA$1:$BXX$24,1901) = 0,RAND(),RAND()-1)</f>
        <v>1.6748087585179428E-2</v>
      </c>
      <c r="B1901" s="2" t="e">
        <f t="shared" ca="1" si="37"/>
        <v>#N/A</v>
      </c>
      <c r="C1901" s="1">
        <v>1901</v>
      </c>
      <c r="D1901" s="1" t="s">
        <v>3730</v>
      </c>
      <c r="E1901" s="1" t="s">
        <v>3731</v>
      </c>
    </row>
    <row r="1902" spans="1:5" ht="25">
      <c r="A1902" s="2">
        <f ca="1">IF(COUNTIF($AA$1:$BXX$24,1902) = 0,RAND(),RAND()-1)</f>
        <v>0.71945182899149029</v>
      </c>
      <c r="B1902" s="2" t="e">
        <f t="shared" ca="1" si="37"/>
        <v>#N/A</v>
      </c>
      <c r="C1902" s="1">
        <v>1902</v>
      </c>
      <c r="D1902" s="1" t="s">
        <v>3732</v>
      </c>
      <c r="E1902" s="1" t="s">
        <v>3733</v>
      </c>
    </row>
    <row r="1903" spans="1:5" ht="25">
      <c r="A1903" s="2">
        <f ca="1">IF(COUNTIF($AA$1:$BXX$24,1903) = 0,RAND(),RAND()-1)</f>
        <v>0.1451181111598816</v>
      </c>
      <c r="B1903" s="2" t="e">
        <f t="shared" ca="1" si="37"/>
        <v>#N/A</v>
      </c>
      <c r="C1903" s="1">
        <v>1903</v>
      </c>
      <c r="D1903" s="1" t="s">
        <v>3734</v>
      </c>
      <c r="E1903" s="1" t="s">
        <v>3735</v>
      </c>
    </row>
    <row r="1904" spans="1:5" ht="25">
      <c r="A1904" s="2">
        <f ca="1">IF(COUNTIF($AA$1:$BXX$24,1904) = 0,RAND(),RAND()-1)</f>
        <v>8.2424109301377335E-2</v>
      </c>
      <c r="B1904" s="2" t="e">
        <f t="shared" ca="1" si="37"/>
        <v>#N/A</v>
      </c>
      <c r="C1904" s="1">
        <v>1904</v>
      </c>
      <c r="D1904" s="1" t="s">
        <v>3736</v>
      </c>
      <c r="E1904" s="1" t="s">
        <v>3737</v>
      </c>
    </row>
    <row r="1905" spans="1:5" ht="25">
      <c r="A1905" s="2">
        <f ca="1">IF(COUNTIF($AA$1:$BXX$24,1905) = 0,RAND(),RAND()-1)</f>
        <v>0.7941492499242685</v>
      </c>
      <c r="B1905" s="2" t="e">
        <f t="shared" ca="1" si="37"/>
        <v>#N/A</v>
      </c>
      <c r="C1905" s="1">
        <v>1905</v>
      </c>
      <c r="D1905" s="1" t="s">
        <v>3738</v>
      </c>
      <c r="E1905" s="1" t="s">
        <v>3739</v>
      </c>
    </row>
    <row r="1906" spans="1:5" ht="25">
      <c r="A1906" s="2">
        <f ca="1">IF(COUNTIF($AA$1:$BXX$24,1906) = 0,RAND(),RAND()-1)</f>
        <v>0.87328441982807592</v>
      </c>
      <c r="B1906" s="2" t="e">
        <f t="shared" ca="1" si="37"/>
        <v>#N/A</v>
      </c>
      <c r="C1906" s="1">
        <v>1906</v>
      </c>
      <c r="D1906" s="1" t="s">
        <v>3740</v>
      </c>
      <c r="E1906" s="1" t="s">
        <v>3741</v>
      </c>
    </row>
    <row r="1907" spans="1:5" ht="25">
      <c r="A1907" s="2">
        <f ca="1">IF(COUNTIF($AA$1:$BXX$24,1907) = 0,RAND(),RAND()-1)</f>
        <v>0.75786070645569259</v>
      </c>
      <c r="B1907" s="2" t="e">
        <f t="shared" ca="1" si="37"/>
        <v>#N/A</v>
      </c>
      <c r="C1907" s="1">
        <v>1907</v>
      </c>
      <c r="D1907" s="1" t="s">
        <v>3742</v>
      </c>
      <c r="E1907" s="1" t="s">
        <v>3547</v>
      </c>
    </row>
    <row r="1908" spans="1:5" ht="25">
      <c r="A1908" s="2">
        <f ca="1">IF(COUNTIF($AA$1:$BXX$24,1908) = 0,RAND(),RAND()-1)</f>
        <v>0.80656892627997123</v>
      </c>
      <c r="B1908" s="2" t="e">
        <f t="shared" ca="1" si="37"/>
        <v>#N/A</v>
      </c>
      <c r="C1908" s="1">
        <v>1908</v>
      </c>
      <c r="D1908" s="1" t="s">
        <v>3743</v>
      </c>
      <c r="E1908" s="1" t="s">
        <v>918</v>
      </c>
    </row>
    <row r="1909" spans="1:5" ht="25">
      <c r="A1909" s="2">
        <f ca="1">IF(COUNTIF($AA$1:$BXX$24,1909) = 0,RAND(),RAND()-1)</f>
        <v>0.20035980342624859</v>
      </c>
      <c r="B1909" s="2" t="e">
        <f t="shared" ca="1" si="37"/>
        <v>#N/A</v>
      </c>
      <c r="C1909" s="1">
        <v>1909</v>
      </c>
      <c r="D1909" s="1" t="s">
        <v>3744</v>
      </c>
      <c r="E1909" s="1" t="s">
        <v>3745</v>
      </c>
    </row>
    <row r="1910" spans="1:5" ht="25">
      <c r="A1910" s="2">
        <f ca="1">IF(COUNTIF($AA$1:$BXX$24,1910) = 0,RAND(),RAND()-1)</f>
        <v>0.94036923925848848</v>
      </c>
      <c r="B1910" s="2" t="e">
        <f t="shared" ca="1" si="37"/>
        <v>#N/A</v>
      </c>
      <c r="C1910" s="1">
        <v>1910</v>
      </c>
      <c r="D1910" s="1" t="s">
        <v>3746</v>
      </c>
      <c r="E1910" s="1" t="s">
        <v>3747</v>
      </c>
    </row>
    <row r="1911" spans="1:5" ht="25">
      <c r="A1911" s="2">
        <f ca="1">IF(COUNTIF($AA$1:$BXX$24,1911) = 0,RAND(),RAND()-1)</f>
        <v>0.63568744045163617</v>
      </c>
      <c r="B1911" s="2" t="e">
        <f t="shared" ca="1" si="37"/>
        <v>#N/A</v>
      </c>
      <c r="C1911" s="1">
        <v>1911</v>
      </c>
      <c r="D1911" s="1" t="s">
        <v>3748</v>
      </c>
      <c r="E1911" s="1" t="s">
        <v>3749</v>
      </c>
    </row>
    <row r="1912" spans="1:5" ht="25">
      <c r="A1912" s="2">
        <f ca="1">IF(COUNTIF($AA$1:$BXX$24,1912) = 0,RAND(),RAND()-1)</f>
        <v>0.51510106783292597</v>
      </c>
      <c r="B1912" s="2" t="e">
        <f t="shared" ca="1" si="37"/>
        <v>#N/A</v>
      </c>
      <c r="C1912" s="1">
        <v>1912</v>
      </c>
      <c r="D1912" s="1" t="s">
        <v>3750</v>
      </c>
      <c r="E1912" s="1" t="s">
        <v>3751</v>
      </c>
    </row>
    <row r="1913" spans="1:5" ht="25">
      <c r="A1913" s="2">
        <f ca="1">IF(COUNTIF($AA$1:$BXX$24,1913) = 0,RAND(),RAND()-1)</f>
        <v>3.1015725783342107E-3</v>
      </c>
      <c r="B1913" s="2" t="e">
        <f t="shared" ca="1" si="37"/>
        <v>#N/A</v>
      </c>
      <c r="C1913" s="1">
        <v>1913</v>
      </c>
      <c r="D1913" s="1" t="s">
        <v>3752</v>
      </c>
      <c r="E1913" s="1" t="s">
        <v>3753</v>
      </c>
    </row>
    <row r="1914" spans="1:5" ht="25">
      <c r="A1914" s="2">
        <f ca="1">IF(COUNTIF($AA$1:$BXX$24,1914) = 0,RAND(),RAND()-1)</f>
        <v>0.76158864762774525</v>
      </c>
      <c r="B1914" s="2" t="e">
        <f t="shared" ca="1" si="37"/>
        <v>#N/A</v>
      </c>
      <c r="C1914" s="1">
        <v>1914</v>
      </c>
      <c r="D1914" s="1" t="s">
        <v>3754</v>
      </c>
      <c r="E1914" s="1" t="s">
        <v>3755</v>
      </c>
    </row>
    <row r="1915" spans="1:5" ht="25">
      <c r="A1915" s="2">
        <f ca="1">IF(COUNTIF($AA$1:$BXX$24,1915) = 0,RAND(),RAND()-1)</f>
        <v>0.48318957599989409</v>
      </c>
      <c r="B1915" s="2" t="e">
        <f t="shared" ca="1" si="37"/>
        <v>#N/A</v>
      </c>
      <c r="C1915" s="1">
        <v>1915</v>
      </c>
      <c r="D1915" s="1" t="s">
        <v>3756</v>
      </c>
      <c r="E1915" s="1" t="s">
        <v>3757</v>
      </c>
    </row>
    <row r="1916" spans="1:5" ht="25">
      <c r="A1916" s="2">
        <f ca="1">IF(COUNTIF($AA$1:$BXX$24,1916) = 0,RAND(),RAND()-1)</f>
        <v>0.53500404055724859</v>
      </c>
      <c r="B1916" s="2" t="e">
        <f t="shared" ca="1" si="37"/>
        <v>#N/A</v>
      </c>
      <c r="C1916" s="1">
        <v>1916</v>
      </c>
      <c r="D1916" s="1" t="s">
        <v>3758</v>
      </c>
      <c r="E1916" s="1" t="s">
        <v>3759</v>
      </c>
    </row>
    <row r="1917" spans="1:5" ht="25">
      <c r="A1917" s="2">
        <f ca="1">IF(COUNTIF($AA$1:$BXX$24,1917) = 0,RAND(),RAND()-1)</f>
        <v>0.8791585493317422</v>
      </c>
      <c r="B1917" s="2" t="e">
        <f t="shared" ca="1" si="37"/>
        <v>#N/A</v>
      </c>
      <c r="C1917" s="1">
        <v>1917</v>
      </c>
      <c r="D1917" s="1" t="s">
        <v>3760</v>
      </c>
      <c r="E1917" s="1" t="s">
        <v>3761</v>
      </c>
    </row>
    <row r="1918" spans="1:5" ht="25">
      <c r="A1918" s="2">
        <f ca="1">IF(COUNTIF($AA$1:$BXX$24,1918) = 0,RAND(),RAND()-1)</f>
        <v>0.95246361333533558</v>
      </c>
      <c r="B1918" s="2" t="e">
        <f t="shared" ca="1" si="37"/>
        <v>#N/A</v>
      </c>
      <c r="C1918" s="1">
        <v>1918</v>
      </c>
      <c r="D1918" s="1" t="s">
        <v>3762</v>
      </c>
      <c r="E1918" s="1" t="s">
        <v>2984</v>
      </c>
    </row>
    <row r="1919" spans="1:5" ht="25">
      <c r="A1919" s="2">
        <f ca="1">IF(COUNTIF($AA$1:$BXX$24,1919) = 0,RAND(),RAND()-1)</f>
        <v>0.83723478273155094</v>
      </c>
      <c r="B1919" s="2" t="e">
        <f t="shared" ca="1" si="37"/>
        <v>#N/A</v>
      </c>
      <c r="C1919" s="1">
        <v>1919</v>
      </c>
      <c r="D1919" s="1" t="s">
        <v>3763</v>
      </c>
      <c r="E1919" s="1" t="s">
        <v>3764</v>
      </c>
    </row>
    <row r="1920" spans="1:5" ht="25">
      <c r="A1920" s="2">
        <f ca="1">IF(COUNTIF($AA$1:$BXX$24,1920) = 0,RAND(),RAND()-1)</f>
        <v>3.445469504791121E-2</v>
      </c>
      <c r="B1920" s="2" t="e">
        <f t="shared" ca="1" si="37"/>
        <v>#N/A</v>
      </c>
      <c r="C1920" s="1">
        <v>1920</v>
      </c>
      <c r="D1920" s="1" t="s">
        <v>3765</v>
      </c>
      <c r="E1920" s="1" t="s">
        <v>3766</v>
      </c>
    </row>
    <row r="1921" spans="1:5" ht="25">
      <c r="A1921" s="2">
        <f ca="1">IF(COUNTIF($AA$1:$BXX$24,1921) = 0,RAND(),RAND()-1)</f>
        <v>0.89269061118598048</v>
      </c>
      <c r="B1921" s="2" t="e">
        <f t="shared" ref="B1921:B1984" ca="1" si="38">RANK(A1921,OFFSET($A$1,$G$1-1,0,$G$2-$G$1+1))</f>
        <v>#N/A</v>
      </c>
      <c r="C1921" s="1">
        <v>1921</v>
      </c>
      <c r="D1921" s="1" t="s">
        <v>3767</v>
      </c>
      <c r="E1921" s="1" t="s">
        <v>3768</v>
      </c>
    </row>
    <row r="1922" spans="1:5" ht="25">
      <c r="A1922" s="2">
        <f ca="1">IF(COUNTIF($AA$1:$BXX$24,1922) = 0,RAND(),RAND()-1)</f>
        <v>0.91408053974820647</v>
      </c>
      <c r="B1922" s="2" t="e">
        <f t="shared" ca="1" si="38"/>
        <v>#N/A</v>
      </c>
      <c r="C1922" s="1">
        <v>1922</v>
      </c>
      <c r="D1922" s="1" t="s">
        <v>3769</v>
      </c>
      <c r="E1922" s="1" t="s">
        <v>3770</v>
      </c>
    </row>
    <row r="1923" spans="1:5" ht="25">
      <c r="A1923" s="2">
        <f ca="1">IF(COUNTIF($AA$1:$BXX$24,1923) = 0,RAND(),RAND()-1)</f>
        <v>0.45895714391202858</v>
      </c>
      <c r="B1923" s="2" t="e">
        <f t="shared" ca="1" si="38"/>
        <v>#N/A</v>
      </c>
      <c r="C1923" s="1">
        <v>1923</v>
      </c>
      <c r="D1923" s="1" t="s">
        <v>3771</v>
      </c>
      <c r="E1923" s="1" t="s">
        <v>3772</v>
      </c>
    </row>
    <row r="1924" spans="1:5" ht="25">
      <c r="A1924" s="2">
        <f ca="1">IF(COUNTIF($AA$1:$BXX$24,1924) = 0,RAND(),RAND()-1)</f>
        <v>0.31073877037806108</v>
      </c>
      <c r="B1924" s="2" t="e">
        <f t="shared" ca="1" si="38"/>
        <v>#N/A</v>
      </c>
      <c r="C1924" s="1">
        <v>1924</v>
      </c>
      <c r="D1924" s="1" t="s">
        <v>3773</v>
      </c>
      <c r="E1924" s="1" t="s">
        <v>3774</v>
      </c>
    </row>
    <row r="1925" spans="1:5" ht="25">
      <c r="A1925" s="2">
        <f ca="1">IF(COUNTIF($AA$1:$BXX$24,1925) = 0,RAND(),RAND()-1)</f>
        <v>0.61864082086478134</v>
      </c>
      <c r="B1925" s="2" t="e">
        <f t="shared" ca="1" si="38"/>
        <v>#N/A</v>
      </c>
      <c r="C1925" s="1">
        <v>1925</v>
      </c>
      <c r="D1925" s="1" t="s">
        <v>3775</v>
      </c>
      <c r="E1925" s="1" t="s">
        <v>3776</v>
      </c>
    </row>
    <row r="1926" spans="1:5" ht="25">
      <c r="A1926" s="2">
        <f ca="1">IF(COUNTIF($AA$1:$BXX$24,1926) = 0,RAND(),RAND()-1)</f>
        <v>0.29905668324919732</v>
      </c>
      <c r="B1926" s="2" t="e">
        <f t="shared" ca="1" si="38"/>
        <v>#N/A</v>
      </c>
      <c r="C1926" s="1">
        <v>1926</v>
      </c>
      <c r="D1926" s="1" t="s">
        <v>3777</v>
      </c>
      <c r="E1926" s="1" t="s">
        <v>3778</v>
      </c>
    </row>
    <row r="1927" spans="1:5" ht="25">
      <c r="A1927" s="2">
        <f ca="1">IF(COUNTIF($AA$1:$BXX$24,1927) = 0,RAND(),RAND()-1)</f>
        <v>0.10919633988233213</v>
      </c>
      <c r="B1927" s="2" t="e">
        <f t="shared" ca="1" si="38"/>
        <v>#N/A</v>
      </c>
      <c r="C1927" s="1">
        <v>1927</v>
      </c>
      <c r="D1927" s="1" t="s">
        <v>3779</v>
      </c>
      <c r="E1927" s="1" t="s">
        <v>3780</v>
      </c>
    </row>
    <row r="1928" spans="1:5" ht="25">
      <c r="A1928" s="2">
        <f ca="1">IF(COUNTIF($AA$1:$BXX$24,1928) = 0,RAND(),RAND()-1)</f>
        <v>0.93770208028836943</v>
      </c>
      <c r="B1928" s="2" t="e">
        <f t="shared" ca="1" si="38"/>
        <v>#N/A</v>
      </c>
      <c r="C1928" s="1">
        <v>1928</v>
      </c>
      <c r="D1928" s="1" t="s">
        <v>3781</v>
      </c>
      <c r="E1928" s="1" t="s">
        <v>3782</v>
      </c>
    </row>
    <row r="1929" spans="1:5" ht="25">
      <c r="A1929" s="2">
        <f ca="1">IF(COUNTIF($AA$1:$BXX$24,1929) = 0,RAND(),RAND()-1)</f>
        <v>0.61235444839338982</v>
      </c>
      <c r="B1929" s="2" t="e">
        <f t="shared" ca="1" si="38"/>
        <v>#N/A</v>
      </c>
      <c r="C1929" s="1">
        <v>1929</v>
      </c>
      <c r="D1929" s="1" t="s">
        <v>3783</v>
      </c>
      <c r="E1929" s="1" t="s">
        <v>3784</v>
      </c>
    </row>
    <row r="1930" spans="1:5" ht="25">
      <c r="A1930" s="2">
        <f ca="1">IF(COUNTIF($AA$1:$BXX$24,1930) = 0,RAND(),RAND()-1)</f>
        <v>0.97907178229271086</v>
      </c>
      <c r="B1930" s="2" t="e">
        <f t="shared" ca="1" si="38"/>
        <v>#N/A</v>
      </c>
      <c r="C1930" s="1">
        <v>1930</v>
      </c>
      <c r="D1930" s="1" t="s">
        <v>3785</v>
      </c>
      <c r="E1930" s="1" t="s">
        <v>3786</v>
      </c>
    </row>
    <row r="1931" spans="1:5" ht="25">
      <c r="A1931" s="2">
        <f ca="1">IF(COUNTIF($AA$1:$BXX$24,1931) = 0,RAND(),RAND()-1)</f>
        <v>1.9889733557444722E-2</v>
      </c>
      <c r="B1931" s="2" t="e">
        <f t="shared" ca="1" si="38"/>
        <v>#N/A</v>
      </c>
      <c r="C1931" s="1">
        <v>1931</v>
      </c>
      <c r="D1931" s="1" t="s">
        <v>3787</v>
      </c>
      <c r="E1931" s="1" t="s">
        <v>3788</v>
      </c>
    </row>
    <row r="1932" spans="1:5" ht="25">
      <c r="A1932" s="2">
        <f ca="1">IF(COUNTIF($AA$1:$BXX$24,1932) = 0,RAND(),RAND()-1)</f>
        <v>0.53660138907505006</v>
      </c>
      <c r="B1932" s="2" t="e">
        <f t="shared" ca="1" si="38"/>
        <v>#N/A</v>
      </c>
      <c r="C1932" s="1">
        <v>1932</v>
      </c>
      <c r="D1932" s="1" t="s">
        <v>3789</v>
      </c>
      <c r="E1932" s="1" t="s">
        <v>3790</v>
      </c>
    </row>
    <row r="1933" spans="1:5" ht="25">
      <c r="A1933" s="2">
        <f ca="1">IF(COUNTIF($AA$1:$BXX$24,1933) = 0,RAND(),RAND()-1)</f>
        <v>0.71736265900947871</v>
      </c>
      <c r="B1933" s="2" t="e">
        <f t="shared" ca="1" si="38"/>
        <v>#N/A</v>
      </c>
      <c r="C1933" s="1">
        <v>1933</v>
      </c>
      <c r="D1933" s="1" t="s">
        <v>3791</v>
      </c>
      <c r="E1933" s="1" t="s">
        <v>3792</v>
      </c>
    </row>
    <row r="1934" spans="1:5" ht="25">
      <c r="A1934" s="2">
        <f ca="1">IF(COUNTIF($AA$1:$BXX$24,1934) = 0,RAND(),RAND()-1)</f>
        <v>0.33506360729289275</v>
      </c>
      <c r="B1934" s="2" t="e">
        <f t="shared" ca="1" si="38"/>
        <v>#N/A</v>
      </c>
      <c r="C1934" s="1">
        <v>1934</v>
      </c>
      <c r="D1934" s="1" t="s">
        <v>3793</v>
      </c>
      <c r="E1934" s="1" t="s">
        <v>3794</v>
      </c>
    </row>
    <row r="1935" spans="1:5" ht="25">
      <c r="A1935" s="2">
        <f ca="1">IF(COUNTIF($AA$1:$BXX$24,1935) = 0,RAND(),RAND()-1)</f>
        <v>0.52949215518475379</v>
      </c>
      <c r="B1935" s="2" t="e">
        <f t="shared" ca="1" si="38"/>
        <v>#N/A</v>
      </c>
      <c r="C1935" s="1">
        <v>1935</v>
      </c>
      <c r="D1935" s="1" t="s">
        <v>3795</v>
      </c>
      <c r="E1935" s="1" t="s">
        <v>3796</v>
      </c>
    </row>
    <row r="1936" spans="1:5" ht="25">
      <c r="A1936" s="2">
        <f ca="1">IF(COUNTIF($AA$1:$BXX$24,1936) = 0,RAND(),RAND()-1)</f>
        <v>0.2419328239118641</v>
      </c>
      <c r="B1936" s="2" t="e">
        <f t="shared" ca="1" si="38"/>
        <v>#N/A</v>
      </c>
      <c r="C1936" s="1">
        <v>1936</v>
      </c>
      <c r="D1936" s="1" t="s">
        <v>3797</v>
      </c>
      <c r="E1936" s="1" t="s">
        <v>3798</v>
      </c>
    </row>
    <row r="1937" spans="1:5" ht="25">
      <c r="A1937" s="2">
        <f ca="1">IF(COUNTIF($AA$1:$BXX$24,1937) = 0,RAND(),RAND()-1)</f>
        <v>0.46385919356089034</v>
      </c>
      <c r="B1937" s="2" t="e">
        <f t="shared" ca="1" si="38"/>
        <v>#N/A</v>
      </c>
      <c r="C1937" s="1">
        <v>1937</v>
      </c>
      <c r="D1937" s="1" t="s">
        <v>3799</v>
      </c>
      <c r="E1937" s="1" t="s">
        <v>3800</v>
      </c>
    </row>
    <row r="1938" spans="1:5" ht="25">
      <c r="A1938" s="2">
        <f ca="1">IF(COUNTIF($AA$1:$BXX$24,1938) = 0,RAND(),RAND()-1)</f>
        <v>6.7767438517660206E-2</v>
      </c>
      <c r="B1938" s="2" t="e">
        <f t="shared" ca="1" si="38"/>
        <v>#N/A</v>
      </c>
      <c r="C1938" s="1">
        <v>1938</v>
      </c>
      <c r="D1938" s="1" t="s">
        <v>3801</v>
      </c>
      <c r="E1938" s="1" t="s">
        <v>3802</v>
      </c>
    </row>
    <row r="1939" spans="1:5" ht="25">
      <c r="A1939" s="2">
        <f ca="1">IF(COUNTIF($AA$1:$BXX$24,1939) = 0,RAND(),RAND()-1)</f>
        <v>0.27808126729274052</v>
      </c>
      <c r="B1939" s="2" t="e">
        <f t="shared" ca="1" si="38"/>
        <v>#N/A</v>
      </c>
      <c r="C1939" s="1">
        <v>1939</v>
      </c>
      <c r="D1939" s="1" t="s">
        <v>3803</v>
      </c>
      <c r="E1939" s="1" t="s">
        <v>3804</v>
      </c>
    </row>
    <row r="1940" spans="1:5" ht="25">
      <c r="A1940" s="2">
        <f ca="1">IF(COUNTIF($AA$1:$BXX$24,1940) = 0,RAND(),RAND()-1)</f>
        <v>6.3882106473861389E-2</v>
      </c>
      <c r="B1940" s="2" t="e">
        <f t="shared" ca="1" si="38"/>
        <v>#N/A</v>
      </c>
      <c r="C1940" s="1">
        <v>1940</v>
      </c>
      <c r="D1940" s="1" t="s">
        <v>3805</v>
      </c>
      <c r="E1940" s="1" t="s">
        <v>3806</v>
      </c>
    </row>
    <row r="1941" spans="1:5" ht="25">
      <c r="A1941" s="2">
        <f ca="1">IF(COUNTIF($AA$1:$BXX$24,1941) = 0,RAND(),RAND()-1)</f>
        <v>0.23928805286206489</v>
      </c>
      <c r="B1941" s="2" t="e">
        <f t="shared" ca="1" si="38"/>
        <v>#N/A</v>
      </c>
      <c r="C1941" s="1">
        <v>1941</v>
      </c>
      <c r="D1941" s="1" t="s">
        <v>3807</v>
      </c>
      <c r="E1941" s="1" t="s">
        <v>3808</v>
      </c>
    </row>
    <row r="1942" spans="1:5" ht="25">
      <c r="A1942" s="2">
        <f ca="1">IF(COUNTIF($AA$1:$BXX$24,1942) = 0,RAND(),RAND()-1)</f>
        <v>6.1192976282396283E-2</v>
      </c>
      <c r="B1942" s="2" t="e">
        <f t="shared" ca="1" si="38"/>
        <v>#N/A</v>
      </c>
      <c r="C1942" s="1">
        <v>1942</v>
      </c>
      <c r="D1942" s="1" t="s">
        <v>3809</v>
      </c>
      <c r="E1942" s="1" t="s">
        <v>3810</v>
      </c>
    </row>
    <row r="1943" spans="1:5" ht="25">
      <c r="A1943" s="2">
        <f ca="1">IF(COUNTIF($AA$1:$BXX$24,1943) = 0,RAND(),RAND()-1)</f>
        <v>0.67858015344321976</v>
      </c>
      <c r="B1943" s="2" t="e">
        <f t="shared" ca="1" si="38"/>
        <v>#N/A</v>
      </c>
      <c r="C1943" s="1">
        <v>1943</v>
      </c>
      <c r="D1943" s="1" t="s">
        <v>3811</v>
      </c>
      <c r="E1943" s="1" t="s">
        <v>2322</v>
      </c>
    </row>
    <row r="1944" spans="1:5" ht="25">
      <c r="A1944" s="2">
        <f ca="1">IF(COUNTIF($AA$1:$BXX$24,1944) = 0,RAND(),RAND()-1)</f>
        <v>0.4152868518986722</v>
      </c>
      <c r="B1944" s="2" t="e">
        <f t="shared" ca="1" si="38"/>
        <v>#N/A</v>
      </c>
      <c r="C1944" s="1">
        <v>1944</v>
      </c>
      <c r="D1944" s="1" t="s">
        <v>3812</v>
      </c>
      <c r="E1944" s="1" t="s">
        <v>3813</v>
      </c>
    </row>
    <row r="1945" spans="1:5" ht="25">
      <c r="A1945" s="2">
        <f ca="1">IF(COUNTIF($AA$1:$BXX$24,1945) = 0,RAND(),RAND()-1)</f>
        <v>0.95173128491269854</v>
      </c>
      <c r="B1945" s="2" t="e">
        <f t="shared" ca="1" si="38"/>
        <v>#N/A</v>
      </c>
      <c r="C1945" s="1">
        <v>1945</v>
      </c>
      <c r="D1945" s="1" t="s">
        <v>3814</v>
      </c>
      <c r="E1945" s="1" t="s">
        <v>3815</v>
      </c>
    </row>
    <row r="1946" spans="1:5" ht="25">
      <c r="A1946" s="2">
        <f ca="1">IF(COUNTIF($AA$1:$BXX$24,1946) = 0,RAND(),RAND()-1)</f>
        <v>8.5234756693503111E-2</v>
      </c>
      <c r="B1946" s="2" t="e">
        <f t="shared" ca="1" si="38"/>
        <v>#N/A</v>
      </c>
      <c r="C1946" s="1">
        <v>1946</v>
      </c>
      <c r="D1946" s="1" t="s">
        <v>3816</v>
      </c>
      <c r="E1946" s="1" t="s">
        <v>3817</v>
      </c>
    </row>
    <row r="1947" spans="1:5" ht="25">
      <c r="A1947" s="2">
        <f ca="1">IF(COUNTIF($AA$1:$BXX$24,1947) = 0,RAND(),RAND()-1)</f>
        <v>0.12249759723898901</v>
      </c>
      <c r="B1947" s="2" t="e">
        <f t="shared" ca="1" si="38"/>
        <v>#N/A</v>
      </c>
      <c r="C1947" s="1">
        <v>1947</v>
      </c>
      <c r="D1947" s="1" t="s">
        <v>3818</v>
      </c>
      <c r="E1947" s="1" t="s">
        <v>3819</v>
      </c>
    </row>
    <row r="1948" spans="1:5" ht="25">
      <c r="A1948" s="2">
        <f ca="1">IF(COUNTIF($AA$1:$BXX$24,1948) = 0,RAND(),RAND()-1)</f>
        <v>0.9858143373001943</v>
      </c>
      <c r="B1948" s="2" t="e">
        <f t="shared" ca="1" si="38"/>
        <v>#N/A</v>
      </c>
      <c r="C1948" s="1">
        <v>1948</v>
      </c>
      <c r="D1948" s="1" t="s">
        <v>3820</v>
      </c>
      <c r="E1948" s="1" t="s">
        <v>3821</v>
      </c>
    </row>
    <row r="1949" spans="1:5" ht="25">
      <c r="A1949" s="2">
        <f ca="1">IF(COUNTIF($AA$1:$BXX$24,1949) = 0,RAND(),RAND()-1)</f>
        <v>4.9197653979659361E-2</v>
      </c>
      <c r="B1949" s="2" t="e">
        <f t="shared" ca="1" si="38"/>
        <v>#N/A</v>
      </c>
      <c r="C1949" s="1">
        <v>1949</v>
      </c>
      <c r="D1949" s="1" t="s">
        <v>3822</v>
      </c>
      <c r="E1949" s="1" t="s">
        <v>3823</v>
      </c>
    </row>
    <row r="1950" spans="1:5" ht="25">
      <c r="A1950" s="2">
        <f ca="1">IF(COUNTIF($AA$1:$BXX$24,1950) = 0,RAND(),RAND()-1)</f>
        <v>5.8867900639010484E-2</v>
      </c>
      <c r="B1950" s="2" t="e">
        <f t="shared" ca="1" si="38"/>
        <v>#N/A</v>
      </c>
      <c r="C1950" s="1">
        <v>1950</v>
      </c>
      <c r="D1950" s="1" t="s">
        <v>3824</v>
      </c>
      <c r="E1950" s="1" t="s">
        <v>3825</v>
      </c>
    </row>
    <row r="1951" spans="1:5" ht="25">
      <c r="A1951" s="2">
        <f ca="1">IF(COUNTIF($AA$1:$BXX$24,1951) = 0,RAND(),RAND()-1)</f>
        <v>0.44802949489764632</v>
      </c>
      <c r="B1951" s="2" t="e">
        <f t="shared" ca="1" si="38"/>
        <v>#N/A</v>
      </c>
      <c r="C1951" s="1">
        <v>1951</v>
      </c>
      <c r="D1951" s="1" t="s">
        <v>3826</v>
      </c>
      <c r="E1951" s="1" t="s">
        <v>3827</v>
      </c>
    </row>
    <row r="1952" spans="1:5" ht="25">
      <c r="A1952" s="2">
        <f ca="1">IF(COUNTIF($AA$1:$BXX$24,1952) = 0,RAND(),RAND()-1)</f>
        <v>0.12402408487360028</v>
      </c>
      <c r="B1952" s="2" t="e">
        <f t="shared" ca="1" si="38"/>
        <v>#N/A</v>
      </c>
      <c r="C1952" s="1">
        <v>1952</v>
      </c>
      <c r="D1952" s="1" t="s">
        <v>3828</v>
      </c>
      <c r="E1952" s="1" t="s">
        <v>3829</v>
      </c>
    </row>
    <row r="1953" spans="1:5" ht="25">
      <c r="A1953" s="2">
        <f ca="1">IF(COUNTIF($AA$1:$BXX$24,1953) = 0,RAND(),RAND()-1)</f>
        <v>0.20478936493075561</v>
      </c>
      <c r="B1953" s="2" t="e">
        <f t="shared" ca="1" si="38"/>
        <v>#N/A</v>
      </c>
      <c r="C1953" s="1">
        <v>1953</v>
      </c>
      <c r="D1953" s="1" t="s">
        <v>3830</v>
      </c>
      <c r="E1953" s="1" t="s">
        <v>3831</v>
      </c>
    </row>
    <row r="1954" spans="1:5" ht="25">
      <c r="A1954" s="2">
        <f ca="1">IF(COUNTIF($AA$1:$BXX$24,1954) = 0,RAND(),RAND()-1)</f>
        <v>0.17113881969827571</v>
      </c>
      <c r="B1954" s="2" t="e">
        <f t="shared" ca="1" si="38"/>
        <v>#N/A</v>
      </c>
      <c r="C1954" s="1">
        <v>1954</v>
      </c>
      <c r="D1954" s="1" t="s">
        <v>3832</v>
      </c>
      <c r="E1954" s="1" t="s">
        <v>562</v>
      </c>
    </row>
    <row r="1955" spans="1:5" ht="25">
      <c r="A1955" s="2">
        <f ca="1">IF(COUNTIF($AA$1:$BXX$24,1955) = 0,RAND(),RAND()-1)</f>
        <v>0.80264839213271244</v>
      </c>
      <c r="B1955" s="2" t="e">
        <f t="shared" ca="1" si="38"/>
        <v>#N/A</v>
      </c>
      <c r="C1955" s="1">
        <v>1955</v>
      </c>
      <c r="D1955" s="1" t="s">
        <v>3833</v>
      </c>
      <c r="E1955" s="1" t="s">
        <v>3834</v>
      </c>
    </row>
    <row r="1956" spans="1:5" ht="25">
      <c r="A1956" s="2">
        <f ca="1">IF(COUNTIF($AA$1:$BXX$24,1956) = 0,RAND(),RAND()-1)</f>
        <v>0.83315818237933359</v>
      </c>
      <c r="B1956" s="2" t="e">
        <f t="shared" ca="1" si="38"/>
        <v>#N/A</v>
      </c>
      <c r="C1956" s="1">
        <v>1956</v>
      </c>
      <c r="D1956" s="1" t="s">
        <v>3835</v>
      </c>
      <c r="E1956" s="1" t="s">
        <v>3836</v>
      </c>
    </row>
    <row r="1957" spans="1:5" ht="25">
      <c r="A1957" s="2">
        <f ca="1">IF(COUNTIF($AA$1:$BXX$24,1957) = 0,RAND(),RAND()-1)</f>
        <v>0.20964906840192321</v>
      </c>
      <c r="B1957" s="2" t="e">
        <f t="shared" ca="1" si="38"/>
        <v>#N/A</v>
      </c>
      <c r="C1957" s="1">
        <v>1957</v>
      </c>
      <c r="D1957" s="1" t="s">
        <v>3837</v>
      </c>
      <c r="E1957" s="1" t="s">
        <v>3838</v>
      </c>
    </row>
    <row r="1958" spans="1:5" ht="25">
      <c r="A1958" s="2">
        <f ca="1">IF(COUNTIF($AA$1:$BXX$24,1958) = 0,RAND(),RAND()-1)</f>
        <v>0.43579239797610203</v>
      </c>
      <c r="B1958" s="2" t="e">
        <f t="shared" ca="1" si="38"/>
        <v>#N/A</v>
      </c>
      <c r="C1958" s="1">
        <v>1958</v>
      </c>
      <c r="D1958" s="1" t="s">
        <v>3839</v>
      </c>
      <c r="E1958" s="1" t="s">
        <v>3840</v>
      </c>
    </row>
    <row r="1959" spans="1:5" ht="25">
      <c r="A1959" s="2">
        <f ca="1">IF(COUNTIF($AA$1:$BXX$24,1959) = 0,RAND(),RAND()-1)</f>
        <v>0.72392250175073414</v>
      </c>
      <c r="B1959" s="2" t="e">
        <f t="shared" ca="1" si="38"/>
        <v>#N/A</v>
      </c>
      <c r="C1959" s="1">
        <v>1959</v>
      </c>
      <c r="D1959" s="1" t="s">
        <v>3841</v>
      </c>
      <c r="E1959" s="1" t="s">
        <v>3842</v>
      </c>
    </row>
    <row r="1960" spans="1:5" ht="25">
      <c r="A1960" s="2">
        <f ca="1">IF(COUNTIF($AA$1:$BXX$24,1960) = 0,RAND(),RAND()-1)</f>
        <v>0.5607035135887557</v>
      </c>
      <c r="B1960" s="2" t="e">
        <f t="shared" ca="1" si="38"/>
        <v>#N/A</v>
      </c>
      <c r="C1960" s="1">
        <v>1960</v>
      </c>
      <c r="D1960" s="1" t="s">
        <v>3843</v>
      </c>
      <c r="E1960" s="1" t="s">
        <v>3844</v>
      </c>
    </row>
    <row r="1961" spans="1:5" ht="25">
      <c r="A1961" s="2">
        <f ca="1">IF(COUNTIF($AA$1:$BXX$24,1961) = 0,RAND(),RAND()-1)</f>
        <v>0.1938656040301221</v>
      </c>
      <c r="B1961" s="2" t="e">
        <f t="shared" ca="1" si="38"/>
        <v>#N/A</v>
      </c>
      <c r="C1961" s="1">
        <v>1961</v>
      </c>
      <c r="D1961" s="1" t="s">
        <v>3845</v>
      </c>
      <c r="E1961" s="1" t="s">
        <v>3846</v>
      </c>
    </row>
    <row r="1962" spans="1:5" ht="25">
      <c r="A1962" s="2">
        <f ca="1">IF(COUNTIF($AA$1:$BXX$24,1962) = 0,RAND(),RAND()-1)</f>
        <v>0.38397466402186997</v>
      </c>
      <c r="B1962" s="2" t="e">
        <f t="shared" ca="1" si="38"/>
        <v>#N/A</v>
      </c>
      <c r="C1962" s="1">
        <v>1962</v>
      </c>
      <c r="D1962" s="1" t="s">
        <v>3847</v>
      </c>
      <c r="E1962" s="1" t="s">
        <v>3848</v>
      </c>
    </row>
    <row r="1963" spans="1:5" ht="25">
      <c r="A1963" s="2">
        <f ca="1">IF(COUNTIF($AA$1:$BXX$24,1963) = 0,RAND(),RAND()-1)</f>
        <v>0.24396143792186742</v>
      </c>
      <c r="B1963" s="2" t="e">
        <f t="shared" ca="1" si="38"/>
        <v>#N/A</v>
      </c>
      <c r="C1963" s="1">
        <v>1963</v>
      </c>
      <c r="D1963" s="1" t="s">
        <v>3849</v>
      </c>
      <c r="E1963" s="1" t="s">
        <v>3850</v>
      </c>
    </row>
    <row r="1964" spans="1:5" ht="25">
      <c r="A1964" s="2">
        <f ca="1">IF(COUNTIF($AA$1:$BXX$24,1964) = 0,RAND(),RAND()-1)</f>
        <v>0.82607262435616435</v>
      </c>
      <c r="B1964" s="2" t="e">
        <f t="shared" ca="1" si="38"/>
        <v>#N/A</v>
      </c>
      <c r="C1964" s="1">
        <v>1964</v>
      </c>
      <c r="D1964" s="1" t="s">
        <v>3851</v>
      </c>
      <c r="E1964" s="1" t="s">
        <v>3852</v>
      </c>
    </row>
    <row r="1965" spans="1:5" ht="25">
      <c r="A1965" s="2">
        <f ca="1">IF(COUNTIF($AA$1:$BXX$24,1965) = 0,RAND(),RAND()-1)</f>
        <v>0.25013163268953087</v>
      </c>
      <c r="B1965" s="2" t="e">
        <f t="shared" ca="1" si="38"/>
        <v>#N/A</v>
      </c>
      <c r="C1965" s="1">
        <v>1965</v>
      </c>
      <c r="D1965" s="1" t="s">
        <v>3853</v>
      </c>
      <c r="E1965" s="1" t="s">
        <v>3854</v>
      </c>
    </row>
    <row r="1966" spans="1:5" ht="25">
      <c r="A1966" s="2">
        <f ca="1">IF(COUNTIF($AA$1:$BXX$24,1966) = 0,RAND(),RAND()-1)</f>
        <v>0.55538728610089172</v>
      </c>
      <c r="B1966" s="2" t="e">
        <f t="shared" ca="1" si="38"/>
        <v>#N/A</v>
      </c>
      <c r="C1966" s="1">
        <v>1966</v>
      </c>
      <c r="D1966" s="1" t="s">
        <v>3855</v>
      </c>
      <c r="E1966" s="1" t="s">
        <v>3856</v>
      </c>
    </row>
    <row r="1967" spans="1:5" ht="25">
      <c r="A1967" s="2">
        <f ca="1">IF(COUNTIF($AA$1:$BXX$24,1967) = 0,RAND(),RAND()-1)</f>
        <v>0.95647824967315387</v>
      </c>
      <c r="B1967" s="2" t="e">
        <f t="shared" ca="1" si="38"/>
        <v>#N/A</v>
      </c>
      <c r="C1967" s="1">
        <v>1967</v>
      </c>
      <c r="D1967" s="1" t="s">
        <v>3857</v>
      </c>
      <c r="E1967" s="1" t="s">
        <v>3858</v>
      </c>
    </row>
    <row r="1968" spans="1:5" ht="25">
      <c r="A1968" s="2">
        <f ca="1">IF(COUNTIF($AA$1:$BXX$24,1968) = 0,RAND(),RAND()-1)</f>
        <v>0.91432417783400377</v>
      </c>
      <c r="B1968" s="2" t="e">
        <f t="shared" ca="1" si="38"/>
        <v>#N/A</v>
      </c>
      <c r="C1968" s="1">
        <v>1968</v>
      </c>
      <c r="D1968" s="1" t="s">
        <v>3859</v>
      </c>
      <c r="E1968" s="1" t="s">
        <v>3326</v>
      </c>
    </row>
    <row r="1969" spans="1:5" ht="25">
      <c r="A1969" s="2">
        <f ca="1">IF(COUNTIF($AA$1:$BXX$24,1969) = 0,RAND(),RAND()-1)</f>
        <v>0.83831632957779267</v>
      </c>
      <c r="B1969" s="2" t="e">
        <f t="shared" ca="1" si="38"/>
        <v>#N/A</v>
      </c>
      <c r="C1969" s="1">
        <v>1969</v>
      </c>
      <c r="D1969" s="1" t="s">
        <v>3860</v>
      </c>
      <c r="E1969" s="1" t="s">
        <v>3861</v>
      </c>
    </row>
    <row r="1970" spans="1:5" ht="25">
      <c r="A1970" s="2">
        <f ca="1">IF(COUNTIF($AA$1:$BXX$24,1970) = 0,RAND(),RAND()-1)</f>
        <v>0.72038963646801379</v>
      </c>
      <c r="B1970" s="2" t="e">
        <f t="shared" ca="1" si="38"/>
        <v>#N/A</v>
      </c>
      <c r="C1970" s="1">
        <v>1970</v>
      </c>
      <c r="D1970" s="1" t="s">
        <v>3862</v>
      </c>
      <c r="E1970" s="1" t="s">
        <v>3863</v>
      </c>
    </row>
    <row r="1971" spans="1:5" ht="25">
      <c r="A1971" s="2">
        <f ca="1">IF(COUNTIF($AA$1:$BXX$24,1971) = 0,RAND(),RAND()-1)</f>
        <v>0.85937661627816131</v>
      </c>
      <c r="B1971" s="2" t="e">
        <f t="shared" ca="1" si="38"/>
        <v>#N/A</v>
      </c>
      <c r="C1971" s="1">
        <v>1971</v>
      </c>
      <c r="D1971" s="1" t="s">
        <v>3864</v>
      </c>
      <c r="E1971" s="1" t="s">
        <v>3865</v>
      </c>
    </row>
    <row r="1972" spans="1:5" ht="25">
      <c r="A1972" s="2">
        <f ca="1">IF(COUNTIF($AA$1:$BXX$24,1972) = 0,RAND(),RAND()-1)</f>
        <v>0.40219567698524705</v>
      </c>
      <c r="B1972" s="2" t="e">
        <f t="shared" ca="1" si="38"/>
        <v>#N/A</v>
      </c>
      <c r="C1972" s="1">
        <v>1972</v>
      </c>
      <c r="D1972" s="1" t="s">
        <v>3866</v>
      </c>
      <c r="E1972" s="1" t="s">
        <v>3867</v>
      </c>
    </row>
    <row r="1973" spans="1:5" ht="25">
      <c r="A1973" s="2">
        <f ca="1">IF(COUNTIF($AA$1:$BXX$24,1973) = 0,RAND(),RAND()-1)</f>
        <v>0.9866853783272056</v>
      </c>
      <c r="B1973" s="2" t="e">
        <f t="shared" ca="1" si="38"/>
        <v>#N/A</v>
      </c>
      <c r="C1973" s="1">
        <v>1973</v>
      </c>
      <c r="D1973" s="1" t="s">
        <v>3868</v>
      </c>
      <c r="E1973" s="1" t="s">
        <v>3869</v>
      </c>
    </row>
    <row r="1974" spans="1:5" ht="25">
      <c r="A1974" s="2">
        <f ca="1">IF(COUNTIF($AA$1:$BXX$24,1974) = 0,RAND(),RAND()-1)</f>
        <v>0.44724551970238613</v>
      </c>
      <c r="B1974" s="2" t="e">
        <f t="shared" ca="1" si="38"/>
        <v>#N/A</v>
      </c>
      <c r="C1974" s="1">
        <v>1974</v>
      </c>
      <c r="D1974" s="1" t="s">
        <v>3870</v>
      </c>
      <c r="E1974" s="1" t="s">
        <v>3871</v>
      </c>
    </row>
    <row r="1975" spans="1:5" ht="25">
      <c r="A1975" s="2">
        <f ca="1">IF(COUNTIF($AA$1:$BXX$24,1975) = 0,RAND(),RAND()-1)</f>
        <v>0.27642846397797016</v>
      </c>
      <c r="B1975" s="2" t="e">
        <f t="shared" ca="1" si="38"/>
        <v>#N/A</v>
      </c>
      <c r="C1975" s="1">
        <v>1975</v>
      </c>
      <c r="D1975" s="1" t="s">
        <v>3872</v>
      </c>
      <c r="E1975" s="1" t="s">
        <v>3873</v>
      </c>
    </row>
    <row r="1976" spans="1:5" ht="25">
      <c r="A1976" s="2">
        <f ca="1">IF(COUNTIF($AA$1:$BXX$24,1976) = 0,RAND(),RAND()-1)</f>
        <v>0.83833294597312813</v>
      </c>
      <c r="B1976" s="2" t="e">
        <f t="shared" ca="1" si="38"/>
        <v>#N/A</v>
      </c>
      <c r="C1976" s="1">
        <v>1976</v>
      </c>
      <c r="D1976" s="1" t="s">
        <v>3874</v>
      </c>
      <c r="E1976" s="1" t="s">
        <v>3875</v>
      </c>
    </row>
    <row r="1977" spans="1:5" ht="25">
      <c r="A1977" s="2">
        <f ca="1">IF(COUNTIF($AA$1:$BXX$24,1977) = 0,RAND(),RAND()-1)</f>
        <v>0.14990034331580449</v>
      </c>
      <c r="B1977" s="2" t="e">
        <f t="shared" ca="1" si="38"/>
        <v>#N/A</v>
      </c>
      <c r="C1977" s="1">
        <v>1977</v>
      </c>
      <c r="D1977" s="1" t="s">
        <v>3876</v>
      </c>
      <c r="E1977" s="1" t="s">
        <v>1097</v>
      </c>
    </row>
    <row r="1978" spans="1:5" ht="25">
      <c r="A1978" s="2">
        <f ca="1">IF(COUNTIF($AA$1:$BXX$24,1978) = 0,RAND(),RAND()-1)</f>
        <v>0.30454726625796313</v>
      </c>
      <c r="B1978" s="2" t="e">
        <f t="shared" ca="1" si="38"/>
        <v>#N/A</v>
      </c>
      <c r="C1978" s="1">
        <v>1978</v>
      </c>
      <c r="D1978" s="1" t="s">
        <v>3877</v>
      </c>
      <c r="E1978" s="1" t="s">
        <v>3878</v>
      </c>
    </row>
    <row r="1979" spans="1:5" ht="25">
      <c r="A1979" s="2">
        <f ca="1">IF(COUNTIF($AA$1:$BXX$24,1979) = 0,RAND(),RAND()-1)</f>
        <v>0.66717591469317605</v>
      </c>
      <c r="B1979" s="2" t="e">
        <f t="shared" ca="1" si="38"/>
        <v>#N/A</v>
      </c>
      <c r="C1979" s="1">
        <v>1979</v>
      </c>
      <c r="D1979" s="1" t="s">
        <v>3879</v>
      </c>
      <c r="E1979" s="1" t="s">
        <v>3880</v>
      </c>
    </row>
    <row r="1980" spans="1:5" ht="25">
      <c r="A1980" s="2">
        <f ca="1">IF(COUNTIF($AA$1:$BXX$24,1980) = 0,RAND(),RAND()-1)</f>
        <v>0.45801525187671299</v>
      </c>
      <c r="B1980" s="2" t="e">
        <f t="shared" ca="1" si="38"/>
        <v>#N/A</v>
      </c>
      <c r="C1980" s="1">
        <v>1980</v>
      </c>
      <c r="D1980" s="1" t="s">
        <v>3881</v>
      </c>
      <c r="E1980" s="1" t="s">
        <v>3882</v>
      </c>
    </row>
    <row r="1981" spans="1:5" ht="25">
      <c r="A1981" s="2">
        <f ca="1">IF(COUNTIF($AA$1:$BXX$24,1981) = 0,RAND(),RAND()-1)</f>
        <v>1.5998651031818412E-2</v>
      </c>
      <c r="B1981" s="2" t="e">
        <f t="shared" ca="1" si="38"/>
        <v>#N/A</v>
      </c>
      <c r="C1981" s="1">
        <v>1981</v>
      </c>
      <c r="D1981" s="1" t="s">
        <v>3883</v>
      </c>
      <c r="E1981" s="1" t="s">
        <v>3884</v>
      </c>
    </row>
    <row r="1982" spans="1:5" ht="25">
      <c r="A1982" s="2">
        <f ca="1">IF(COUNTIF($AA$1:$BXX$24,1982) = 0,RAND(),RAND()-1)</f>
        <v>0.25873784010530121</v>
      </c>
      <c r="B1982" s="2" t="e">
        <f t="shared" ca="1" si="38"/>
        <v>#N/A</v>
      </c>
      <c r="C1982" s="1">
        <v>1982</v>
      </c>
      <c r="D1982" s="1" t="s">
        <v>3885</v>
      </c>
      <c r="E1982" s="1" t="s">
        <v>3886</v>
      </c>
    </row>
    <row r="1983" spans="1:5" ht="25">
      <c r="A1983" s="2">
        <f ca="1">IF(COUNTIF($AA$1:$BXX$24,1983) = 0,RAND(),RAND()-1)</f>
        <v>0.20938310805225635</v>
      </c>
      <c r="B1983" s="2" t="e">
        <f t="shared" ca="1" si="38"/>
        <v>#N/A</v>
      </c>
      <c r="C1983" s="1">
        <v>1983</v>
      </c>
      <c r="D1983" s="1" t="s">
        <v>3887</v>
      </c>
      <c r="E1983" s="1" t="s">
        <v>3888</v>
      </c>
    </row>
    <row r="1984" spans="1:5" ht="25">
      <c r="A1984" s="2">
        <f ca="1">IF(COUNTIF($AA$1:$BXX$24,1984) = 0,RAND(),RAND()-1)</f>
        <v>0.12525184201780537</v>
      </c>
      <c r="B1984" s="2" t="e">
        <f t="shared" ca="1" si="38"/>
        <v>#N/A</v>
      </c>
      <c r="C1984" s="1">
        <v>1984</v>
      </c>
      <c r="D1984" s="1" t="s">
        <v>3889</v>
      </c>
      <c r="E1984" s="1" t="s">
        <v>3890</v>
      </c>
    </row>
    <row r="1985" spans="1:5" ht="25">
      <c r="A1985" s="2">
        <f ca="1">IF(COUNTIF($AA$1:$BXX$24,1985) = 0,RAND(),RAND()-1)</f>
        <v>0.18641383345420193</v>
      </c>
      <c r="B1985" s="2" t="e">
        <f t="shared" ref="B1985:B2027" ca="1" si="39">RANK(A1985,OFFSET($A$1,$G$1-1,0,$G$2-$G$1+1))</f>
        <v>#N/A</v>
      </c>
      <c r="C1985" s="1">
        <v>1985</v>
      </c>
      <c r="D1985" s="1" t="s">
        <v>3891</v>
      </c>
      <c r="E1985" s="1" t="s">
        <v>3892</v>
      </c>
    </row>
    <row r="1986" spans="1:5" ht="25">
      <c r="A1986" s="2">
        <f ca="1">IF(COUNTIF($AA$1:$BXX$24,1986) = 0,RAND(),RAND()-1)</f>
        <v>0.51141564928027561</v>
      </c>
      <c r="B1986" s="2" t="e">
        <f t="shared" ca="1" si="39"/>
        <v>#N/A</v>
      </c>
      <c r="C1986" s="1">
        <v>1986</v>
      </c>
      <c r="D1986" s="1" t="s">
        <v>3893</v>
      </c>
      <c r="E1986" s="1" t="s">
        <v>3894</v>
      </c>
    </row>
    <row r="1987" spans="1:5" ht="25">
      <c r="A1987" s="2">
        <f ca="1">IF(COUNTIF($AA$1:$BXX$24,1987) = 0,RAND(),RAND()-1)</f>
        <v>0.13347543948399021</v>
      </c>
      <c r="B1987" s="2" t="e">
        <f t="shared" ca="1" si="39"/>
        <v>#N/A</v>
      </c>
      <c r="C1987" s="1">
        <v>1987</v>
      </c>
      <c r="D1987" s="1" t="s">
        <v>3895</v>
      </c>
      <c r="E1987" s="1" t="s">
        <v>3896</v>
      </c>
    </row>
    <row r="1988" spans="1:5" ht="25">
      <c r="A1988" s="2">
        <f ca="1">IF(COUNTIF($AA$1:$BXX$24,1988) = 0,RAND(),RAND()-1)</f>
        <v>2.261381531263762E-2</v>
      </c>
      <c r="B1988" s="2" t="e">
        <f t="shared" ca="1" si="39"/>
        <v>#N/A</v>
      </c>
      <c r="C1988" s="1">
        <v>1988</v>
      </c>
      <c r="D1988" s="1" t="s">
        <v>3897</v>
      </c>
      <c r="E1988" s="1" t="s">
        <v>3898</v>
      </c>
    </row>
    <row r="1989" spans="1:5" ht="25">
      <c r="A1989" s="2">
        <f ca="1">IF(COUNTIF($AA$1:$BXX$24,1989) = 0,RAND(),RAND()-1)</f>
        <v>0.93565048032370646</v>
      </c>
      <c r="B1989" s="2" t="e">
        <f t="shared" ca="1" si="39"/>
        <v>#N/A</v>
      </c>
      <c r="C1989" s="1">
        <v>1989</v>
      </c>
      <c r="D1989" s="1" t="s">
        <v>3899</v>
      </c>
      <c r="E1989" s="1" t="s">
        <v>3900</v>
      </c>
    </row>
    <row r="1990" spans="1:5" ht="25">
      <c r="A1990" s="2">
        <f ca="1">IF(COUNTIF($AA$1:$BXX$24,1990) = 0,RAND(),RAND()-1)</f>
        <v>0.50720930254111984</v>
      </c>
      <c r="B1990" s="2" t="e">
        <f t="shared" ca="1" si="39"/>
        <v>#N/A</v>
      </c>
      <c r="C1990" s="1">
        <v>1990</v>
      </c>
      <c r="D1990" s="1" t="s">
        <v>3901</v>
      </c>
      <c r="E1990" s="1" t="s">
        <v>3902</v>
      </c>
    </row>
    <row r="1991" spans="1:5" ht="25">
      <c r="A1991" s="2">
        <f ca="1">IF(COUNTIF($AA$1:$BXX$24,1991) = 0,RAND(),RAND()-1)</f>
        <v>0.5854462640179271</v>
      </c>
      <c r="B1991" s="2" t="e">
        <f t="shared" ca="1" si="39"/>
        <v>#N/A</v>
      </c>
      <c r="C1991" s="1">
        <v>1991</v>
      </c>
      <c r="D1991" s="1" t="s">
        <v>3903</v>
      </c>
      <c r="E1991" s="1" t="s">
        <v>3268</v>
      </c>
    </row>
    <row r="1992" spans="1:5" ht="25">
      <c r="A1992" s="2">
        <f ca="1">IF(COUNTIF($AA$1:$BXX$24,1992) = 0,RAND(),RAND()-1)</f>
        <v>0.52531740770251256</v>
      </c>
      <c r="B1992" s="2" t="e">
        <f t="shared" ca="1" si="39"/>
        <v>#N/A</v>
      </c>
      <c r="C1992" s="1">
        <v>1992</v>
      </c>
      <c r="D1992" s="1" t="s">
        <v>3904</v>
      </c>
      <c r="E1992" s="1" t="s">
        <v>3905</v>
      </c>
    </row>
    <row r="1993" spans="1:5" ht="25">
      <c r="A1993" s="2">
        <f ca="1">IF(COUNTIF($AA$1:$BXX$24,1993) = 0,RAND(),RAND()-1)</f>
        <v>0.17649040897113266</v>
      </c>
      <c r="B1993" s="2" t="e">
        <f t="shared" ca="1" si="39"/>
        <v>#N/A</v>
      </c>
      <c r="C1993" s="1">
        <v>1993</v>
      </c>
      <c r="D1993" s="1" t="s">
        <v>3906</v>
      </c>
      <c r="E1993" s="1" t="s">
        <v>3907</v>
      </c>
    </row>
    <row r="1994" spans="1:5" ht="25">
      <c r="A1994" s="2">
        <f ca="1">IF(COUNTIF($AA$1:$BXX$24,1994) = 0,RAND(),RAND()-1)</f>
        <v>0.42278079031326121</v>
      </c>
      <c r="B1994" s="2" t="e">
        <f t="shared" ca="1" si="39"/>
        <v>#N/A</v>
      </c>
      <c r="C1994" s="1">
        <v>1994</v>
      </c>
      <c r="D1994" s="1" t="s">
        <v>3908</v>
      </c>
      <c r="E1994" s="1" t="s">
        <v>3909</v>
      </c>
    </row>
    <row r="1995" spans="1:5" ht="25">
      <c r="A1995" s="2">
        <f ca="1">IF(COUNTIF($AA$1:$BXX$24,1995) = 0,RAND(),RAND()-1)</f>
        <v>0.99581993350408504</v>
      </c>
      <c r="B1995" s="2" t="e">
        <f t="shared" ca="1" si="39"/>
        <v>#N/A</v>
      </c>
      <c r="C1995" s="1">
        <v>1995</v>
      </c>
      <c r="D1995" s="1" t="s">
        <v>3910</v>
      </c>
      <c r="E1995" s="1" t="s">
        <v>3911</v>
      </c>
    </row>
    <row r="1996" spans="1:5" ht="25">
      <c r="A1996" s="2">
        <f ca="1">IF(COUNTIF($AA$1:$BXX$24,1996) = 0,RAND(),RAND()-1)</f>
        <v>0.20134956753559985</v>
      </c>
      <c r="B1996" s="2" t="e">
        <f t="shared" ca="1" si="39"/>
        <v>#N/A</v>
      </c>
      <c r="C1996" s="1">
        <v>1996</v>
      </c>
      <c r="D1996" s="1" t="s">
        <v>3912</v>
      </c>
      <c r="E1996" s="1" t="s">
        <v>3913</v>
      </c>
    </row>
    <row r="1997" spans="1:5" ht="25">
      <c r="A1997" s="2">
        <f ca="1">IF(COUNTIF($AA$1:$BXX$24,1997) = 0,RAND(),RAND()-1)</f>
        <v>2.2886522469825255E-2</v>
      </c>
      <c r="B1997" s="2" t="e">
        <f t="shared" ca="1" si="39"/>
        <v>#N/A</v>
      </c>
      <c r="C1997" s="1">
        <v>1997</v>
      </c>
      <c r="D1997" s="1" t="s">
        <v>3914</v>
      </c>
      <c r="E1997" s="1" t="s">
        <v>3915</v>
      </c>
    </row>
    <row r="1998" spans="1:5" ht="25">
      <c r="A1998" s="2">
        <f ca="1">IF(COUNTIF($AA$1:$BXX$24,1998) = 0,RAND(),RAND()-1)</f>
        <v>0.67044728202144432</v>
      </c>
      <c r="B1998" s="2" t="e">
        <f t="shared" ca="1" si="39"/>
        <v>#N/A</v>
      </c>
      <c r="C1998" s="1">
        <v>1998</v>
      </c>
      <c r="D1998" s="1" t="s">
        <v>3916</v>
      </c>
      <c r="E1998" s="1" t="s">
        <v>3917</v>
      </c>
    </row>
    <row r="1999" spans="1:5" ht="25">
      <c r="A1999" s="2">
        <f ca="1">IF(COUNTIF($AA$1:$BXX$24,1999) = 0,RAND(),RAND()-1)</f>
        <v>0.58825328874007377</v>
      </c>
      <c r="B1999" s="2" t="e">
        <f t="shared" ca="1" si="39"/>
        <v>#N/A</v>
      </c>
      <c r="C1999" s="1">
        <v>1999</v>
      </c>
      <c r="D1999" s="1" t="s">
        <v>3918</v>
      </c>
      <c r="E1999" s="1" t="s">
        <v>3919</v>
      </c>
    </row>
    <row r="2000" spans="1:5" ht="25">
      <c r="A2000" s="2">
        <f ca="1">IF(COUNTIF($AA$1:$BXX$24,2000) = 0,RAND(),RAND()-1)</f>
        <v>0.8124324958185698</v>
      </c>
      <c r="B2000" s="2" t="e">
        <f t="shared" ca="1" si="39"/>
        <v>#N/A</v>
      </c>
      <c r="C2000" s="1">
        <v>2000</v>
      </c>
      <c r="D2000" s="1" t="s">
        <v>3920</v>
      </c>
      <c r="E2000" s="1" t="s">
        <v>3921</v>
      </c>
    </row>
    <row r="2001" spans="1:5" ht="25">
      <c r="A2001" s="2">
        <f ca="1">IF(COUNTIF($AA$1:$BXX$24,2001) = 0,RAND(),RAND()-1)</f>
        <v>2.9525698021040547E-2</v>
      </c>
      <c r="B2001" s="2" t="e">
        <f t="shared" ca="1" si="39"/>
        <v>#N/A</v>
      </c>
      <c r="C2001" s="1">
        <v>2001</v>
      </c>
      <c r="D2001" s="1" t="s">
        <v>3922</v>
      </c>
      <c r="E2001" s="1" t="s">
        <v>3923</v>
      </c>
    </row>
    <row r="2002" spans="1:5" ht="25">
      <c r="A2002" s="2">
        <f ca="1">IF(COUNTIF($AA$1:$AG$24,2002)=0,RAND(),RAND()-1)</f>
        <v>0.13757101936373139</v>
      </c>
      <c r="B2002" s="2" t="e">
        <f t="shared" ca="1" si="39"/>
        <v>#N/A</v>
      </c>
      <c r="C2002" s="1">
        <v>2002</v>
      </c>
      <c r="D2002" s="1" t="s">
        <v>3924</v>
      </c>
      <c r="E2002" s="1" t="s">
        <v>3925</v>
      </c>
    </row>
    <row r="2003" spans="1:5" ht="25">
      <c r="A2003" s="2">
        <f ca="1">IF(COUNTIF($AA$1:$AG$24,2003)=0,RAND(),RAND()-1)</f>
        <v>0.44041351516125771</v>
      </c>
      <c r="B2003" s="2" t="e">
        <f t="shared" ca="1" si="39"/>
        <v>#N/A</v>
      </c>
      <c r="C2003" s="1">
        <v>2003</v>
      </c>
      <c r="D2003" s="1" t="s">
        <v>3926</v>
      </c>
      <c r="E2003" s="1" t="s">
        <v>3927</v>
      </c>
    </row>
    <row r="2004" spans="1:5" ht="25">
      <c r="A2004" s="2">
        <f ca="1">IF(COUNTIF($AA$1:$AG$24,2004)=0,RAND(),RAND()-1)</f>
        <v>0.20072134911407369</v>
      </c>
      <c r="B2004" s="2" t="e">
        <f t="shared" ca="1" si="39"/>
        <v>#N/A</v>
      </c>
      <c r="C2004" s="1">
        <v>2004</v>
      </c>
      <c r="D2004" s="1" t="s">
        <v>3928</v>
      </c>
      <c r="E2004" s="1" t="s">
        <v>3929</v>
      </c>
    </row>
    <row r="2005" spans="1:5" ht="25">
      <c r="A2005" s="2">
        <f ca="1">IF(COUNTIF($AA$1:$AG$24,2005)=0,RAND(),RAND()-1)</f>
        <v>0.31844145349368203</v>
      </c>
      <c r="B2005" s="2" t="e">
        <f t="shared" ca="1" si="39"/>
        <v>#N/A</v>
      </c>
      <c r="C2005" s="1">
        <v>2005</v>
      </c>
      <c r="D2005" s="1" t="s">
        <v>3930</v>
      </c>
      <c r="E2005" s="1" t="s">
        <v>3931</v>
      </c>
    </row>
    <row r="2006" spans="1:5" ht="25">
      <c r="A2006" s="2">
        <f ca="1">IF(COUNTIF($AA$1:$AG$24,2006)=0,RAND(),RAND()-1)</f>
        <v>0.49033548644863512</v>
      </c>
      <c r="B2006" s="2" t="e">
        <f t="shared" ca="1" si="39"/>
        <v>#N/A</v>
      </c>
      <c r="C2006" s="1">
        <v>2006</v>
      </c>
      <c r="D2006" s="1" t="s">
        <v>3932</v>
      </c>
      <c r="E2006" s="1" t="s">
        <v>3933</v>
      </c>
    </row>
    <row r="2007" spans="1:5" ht="25">
      <c r="A2007" s="2">
        <f ca="1">IF(COUNTIF($AA$1:$AG$24,2007)=0,RAND(),RAND()-1)</f>
        <v>0.55651250698072074</v>
      </c>
      <c r="B2007" s="2" t="e">
        <f t="shared" ca="1" si="39"/>
        <v>#N/A</v>
      </c>
      <c r="C2007" s="1">
        <v>2007</v>
      </c>
      <c r="D2007" s="1" t="s">
        <v>3934</v>
      </c>
      <c r="E2007" s="1" t="s">
        <v>1115</v>
      </c>
    </row>
    <row r="2008" spans="1:5" ht="25">
      <c r="A2008" s="2">
        <f ca="1">IF(COUNTIF($AA$1:$AG$24,2008)=0,RAND(),RAND()-1)</f>
        <v>0.82560505116606964</v>
      </c>
      <c r="B2008" s="2" t="e">
        <f t="shared" ca="1" si="39"/>
        <v>#N/A</v>
      </c>
      <c r="C2008" s="1">
        <v>2008</v>
      </c>
      <c r="D2008" s="1" t="s">
        <v>3935</v>
      </c>
      <c r="E2008" s="1" t="s">
        <v>3936</v>
      </c>
    </row>
    <row r="2009" spans="1:5" ht="25">
      <c r="A2009" s="2">
        <f ca="1">IF(COUNTIF($AA$1:$AG$24,2009)=0,RAND(),RAND()-1)</f>
        <v>0.66893100122653271</v>
      </c>
      <c r="B2009" s="2" t="e">
        <f t="shared" ca="1" si="39"/>
        <v>#N/A</v>
      </c>
      <c r="C2009" s="1">
        <v>2009</v>
      </c>
      <c r="D2009" s="1" t="s">
        <v>3937</v>
      </c>
      <c r="E2009" s="1" t="s">
        <v>3938</v>
      </c>
    </row>
    <row r="2010" spans="1:5" ht="25">
      <c r="A2010" s="2">
        <f ca="1">IF(COUNTIF($AA$1:$AG$24,2010)=0,RAND(),RAND()-1)</f>
        <v>0.20575540498761469</v>
      </c>
      <c r="B2010" s="2" t="e">
        <f t="shared" ca="1" si="39"/>
        <v>#N/A</v>
      </c>
      <c r="C2010" s="1">
        <v>2010</v>
      </c>
      <c r="D2010" s="1" t="s">
        <v>3939</v>
      </c>
      <c r="E2010" s="1" t="s">
        <v>3940</v>
      </c>
    </row>
    <row r="2011" spans="1:5" ht="25">
      <c r="A2011" s="2">
        <f ca="1">IF(COUNTIF($AA$1:$AG$24,2011)=0,RAND(),RAND()-1)</f>
        <v>0.74199267889669263</v>
      </c>
      <c r="B2011" s="2" t="e">
        <f t="shared" ca="1" si="39"/>
        <v>#N/A</v>
      </c>
      <c r="C2011" s="1">
        <v>2011</v>
      </c>
      <c r="D2011" s="1" t="s">
        <v>3941</v>
      </c>
      <c r="E2011" s="1" t="s">
        <v>3195</v>
      </c>
    </row>
    <row r="2012" spans="1:5" ht="25">
      <c r="A2012" s="2">
        <f ca="1">IF(COUNTIF($AA$1:$AG$24,2012)=0,RAND(),RAND()-1)</f>
        <v>0.2944591255468032</v>
      </c>
      <c r="B2012" s="2" t="e">
        <f t="shared" ca="1" si="39"/>
        <v>#N/A</v>
      </c>
      <c r="C2012" s="1">
        <v>2012</v>
      </c>
      <c r="D2012" s="1" t="s">
        <v>3942</v>
      </c>
      <c r="E2012" s="1" t="s">
        <v>570</v>
      </c>
    </row>
    <row r="2013" spans="1:5" ht="25">
      <c r="A2013" s="2">
        <f ca="1">IF(COUNTIF($AA$1:$AG$24,2013)=0,RAND(),RAND()-1)</f>
        <v>0.76740316348649251</v>
      </c>
      <c r="B2013" s="2" t="e">
        <f t="shared" ca="1" si="39"/>
        <v>#N/A</v>
      </c>
      <c r="C2013" s="1">
        <v>2013</v>
      </c>
      <c r="D2013" s="1" t="s">
        <v>3943</v>
      </c>
      <c r="E2013" s="1" t="s">
        <v>3944</v>
      </c>
    </row>
    <row r="2014" spans="1:5" ht="25">
      <c r="A2014" s="2">
        <f ca="1">IF(COUNTIF($AA$1:$AG$24,2014)=0,RAND(),RAND()-1)</f>
        <v>0.1931905400641345</v>
      </c>
      <c r="B2014" s="2" t="e">
        <f t="shared" ca="1" si="39"/>
        <v>#N/A</v>
      </c>
      <c r="C2014" s="1">
        <v>2014</v>
      </c>
      <c r="D2014" s="1" t="s">
        <v>3945</v>
      </c>
      <c r="E2014" s="1" t="s">
        <v>3931</v>
      </c>
    </row>
    <row r="2015" spans="1:5" ht="25">
      <c r="A2015" s="2">
        <f ca="1">IF(COUNTIF($AA$1:$AG$24,2015)=0,RAND(),RAND()-1)</f>
        <v>2.54930784197267E-2</v>
      </c>
      <c r="B2015" s="2" t="e">
        <f t="shared" ca="1" si="39"/>
        <v>#N/A</v>
      </c>
      <c r="C2015" s="1">
        <v>2015</v>
      </c>
      <c r="D2015" s="1" t="s">
        <v>3946</v>
      </c>
      <c r="E2015" s="1" t="s">
        <v>3947</v>
      </c>
    </row>
    <row r="2016" spans="1:5" ht="25">
      <c r="A2016" s="2">
        <f ca="1">IF(COUNTIF($AA$1:$AG$24,2016)=0,RAND(),RAND()-1)</f>
        <v>0.85043831900488409</v>
      </c>
      <c r="B2016" s="2" t="e">
        <f t="shared" ca="1" si="39"/>
        <v>#N/A</v>
      </c>
      <c r="C2016" s="1">
        <v>2016</v>
      </c>
      <c r="D2016" s="1" t="s">
        <v>3948</v>
      </c>
      <c r="E2016" s="1" t="s">
        <v>3949</v>
      </c>
    </row>
    <row r="2017" spans="1:5" ht="25">
      <c r="A2017" s="2">
        <f ca="1">IF(COUNTIF($AA$1:$AG$24,2017)=0,RAND(),RAND()-1)</f>
        <v>0.11353728280698416</v>
      </c>
      <c r="B2017" s="2" t="e">
        <f t="shared" ca="1" si="39"/>
        <v>#N/A</v>
      </c>
      <c r="C2017" s="1">
        <v>2017</v>
      </c>
      <c r="D2017" s="1" t="s">
        <v>3950</v>
      </c>
      <c r="E2017" s="1" t="s">
        <v>3951</v>
      </c>
    </row>
    <row r="2018" spans="1:5" ht="25">
      <c r="A2018" s="2">
        <f ca="1">IF(COUNTIF($AA$1:$AG$24,2018)=0,RAND(),RAND()-1)</f>
        <v>0.42983440962930242</v>
      </c>
      <c r="B2018" s="2" t="e">
        <f t="shared" ca="1" si="39"/>
        <v>#N/A</v>
      </c>
      <c r="C2018" s="1">
        <v>2018</v>
      </c>
      <c r="D2018" s="1" t="s">
        <v>3952</v>
      </c>
      <c r="E2018" s="1" t="s">
        <v>3953</v>
      </c>
    </row>
    <row r="2019" spans="1:5" ht="25">
      <c r="A2019" s="2">
        <f ca="1">IF(COUNTIF($AA$1:$AG$24,2019)=0,RAND(),RAND()-1)</f>
        <v>0.58888018511230422</v>
      </c>
      <c r="B2019" s="2" t="e">
        <f t="shared" ca="1" si="39"/>
        <v>#N/A</v>
      </c>
      <c r="C2019" s="1">
        <v>2019</v>
      </c>
      <c r="D2019" s="1" t="s">
        <v>3954</v>
      </c>
      <c r="E2019" s="1" t="s">
        <v>3955</v>
      </c>
    </row>
    <row r="2020" spans="1:5" ht="25">
      <c r="A2020" s="2">
        <f ca="1">IF(COUNTIF($AA$1:$AG$24,2020)=0,RAND(),RAND()-1)</f>
        <v>0.8191166789537635</v>
      </c>
      <c r="B2020" s="2" t="e">
        <f t="shared" ca="1" si="39"/>
        <v>#N/A</v>
      </c>
      <c r="C2020" s="1">
        <v>2020</v>
      </c>
      <c r="D2020" s="1" t="s">
        <v>3956</v>
      </c>
      <c r="E2020" s="1" t="s">
        <v>3957</v>
      </c>
    </row>
    <row r="2021" spans="1:5" ht="25">
      <c r="A2021" s="2">
        <f ca="1">IF(COUNTIF($AA$1:$AG$24,2021)=0,RAND(),RAND()-1)</f>
        <v>0.28346018563170161</v>
      </c>
      <c r="B2021" s="2" t="e">
        <f t="shared" ca="1" si="39"/>
        <v>#N/A</v>
      </c>
      <c r="C2021" s="1">
        <v>2021</v>
      </c>
      <c r="D2021" s="1" t="s">
        <v>3958</v>
      </c>
      <c r="E2021" s="1" t="s">
        <v>3959</v>
      </c>
    </row>
    <row r="2022" spans="1:5" ht="25">
      <c r="A2022" s="2">
        <f ca="1">IF(COUNTIF($AA$1:$AG$24,2022)=0,RAND(),RAND()-1)</f>
        <v>0.74137328228678012</v>
      </c>
      <c r="B2022" s="2" t="e">
        <f t="shared" ca="1" si="39"/>
        <v>#N/A</v>
      </c>
      <c r="C2022" s="1">
        <v>2022</v>
      </c>
      <c r="D2022" s="1" t="s">
        <v>3960</v>
      </c>
      <c r="E2022" s="1" t="s">
        <v>3907</v>
      </c>
    </row>
    <row r="2023" spans="1:5" ht="25">
      <c r="A2023" s="2">
        <f ca="1">IF(COUNTIF($AA$1:$AG$24,2023)=0,RAND(),RAND()-1)</f>
        <v>0.7167108520254919</v>
      </c>
      <c r="B2023" s="2" t="e">
        <f t="shared" ca="1" si="39"/>
        <v>#N/A</v>
      </c>
      <c r="C2023" s="1">
        <v>2023</v>
      </c>
      <c r="D2023" s="1" t="s">
        <v>3961</v>
      </c>
      <c r="E2023" s="1" t="s">
        <v>3962</v>
      </c>
    </row>
    <row r="2024" spans="1:5" ht="25">
      <c r="A2024" s="2">
        <f ca="1">IF(COUNTIF($AA$1:$AG$24,2024)=0,RAND(),RAND()-1)</f>
        <v>0.10564279160596224</v>
      </c>
      <c r="B2024" s="2" t="e">
        <f t="shared" ca="1" si="39"/>
        <v>#N/A</v>
      </c>
      <c r="C2024" s="1">
        <v>2024</v>
      </c>
      <c r="D2024" s="1" t="s">
        <v>3963</v>
      </c>
      <c r="E2024" s="1" t="s">
        <v>3964</v>
      </c>
    </row>
    <row r="2025" spans="1:5" ht="25">
      <c r="A2025" s="2">
        <f ca="1">IF(COUNTIF($AA$1:$AG$24,2025)=0,RAND(),RAND()-1)</f>
        <v>0.89463768835000579</v>
      </c>
      <c r="B2025" s="2" t="e">
        <f t="shared" ca="1" si="39"/>
        <v>#N/A</v>
      </c>
      <c r="C2025" s="1">
        <v>2025</v>
      </c>
      <c r="D2025" s="1" t="s">
        <v>3965</v>
      </c>
      <c r="E2025" s="1" t="s">
        <v>3966</v>
      </c>
    </row>
    <row r="2026" spans="1:5" ht="25">
      <c r="A2026" s="2">
        <f ca="1">IF(COUNTIF($AA$1:$AG$24,2026)=0,RAND(),RAND()-1)</f>
        <v>0.54220560256738837</v>
      </c>
      <c r="B2026" s="2" t="e">
        <f t="shared" ca="1" si="39"/>
        <v>#N/A</v>
      </c>
      <c r="C2026" s="1">
        <v>2026</v>
      </c>
      <c r="D2026" s="1" t="s">
        <v>3967</v>
      </c>
      <c r="E2026" s="1" t="s">
        <v>1205</v>
      </c>
    </row>
    <row r="2027" spans="1:5" ht="25">
      <c r="A2027" s="2">
        <f ca="1">IF(COUNTIF($AA$1:$AG$24,2027)=0,RAND(),RAND()-1)</f>
        <v>6.8469556610281423E-2</v>
      </c>
      <c r="B2027" s="2" t="e">
        <f t="shared" ca="1" si="39"/>
        <v>#N/A</v>
      </c>
      <c r="C2027" s="1">
        <v>2027</v>
      </c>
      <c r="D2027" s="1" t="s">
        <v>3968</v>
      </c>
      <c r="E2027" s="1" t="s">
        <v>3969</v>
      </c>
    </row>
    <row r="2028" spans="1:5">
      <c r="A2028">
        <f ca="1">IF(COUNTIF($AA$1:$AG$24,2028)=0,RAND(),RAND()-1)</f>
        <v>0.36400329549914601</v>
      </c>
    </row>
    <row r="2029" spans="1:5">
      <c r="A2029">
        <f ca="1">IF(COUNTIF($AA$1:$AG$24,2029)=0,RAND(),RAND()-1)</f>
        <v>0.18028525171580978</v>
      </c>
    </row>
    <row r="2030" spans="1:5">
      <c r="A2030">
        <f ca="1">IF(COUNTIF($AA$1:$AG$24,2030)=0,RAND(),RAND()-1)</f>
        <v>9.3281065064962587E-2</v>
      </c>
    </row>
    <row r="2031" spans="1:5">
      <c r="A2031">
        <f ca="1">IF(COUNTIF($AA$1:$AG$24,2031)=0,RAND(),RAND()-1)</f>
        <v>0.15984501551946728</v>
      </c>
    </row>
    <row r="2032" spans="1:5">
      <c r="A2032">
        <f ca="1">IF(COUNTIF($AA$1:$AG$24,2032)=0,RAND(),RAND()-1)</f>
        <v>0.71977905746637583</v>
      </c>
    </row>
    <row r="2033" spans="1:1">
      <c r="A2033">
        <f ca="1">IF(COUNTIF($AA$1:$AG$24,2033)=0,RAND(),RAND()-1)</f>
        <v>0.68764079378387555</v>
      </c>
    </row>
    <row r="2034" spans="1:1">
      <c r="A2034">
        <f ca="1">IF(COUNTIF($AA$1:$AG$24,2034)=0,RAND(),RAND()-1)</f>
        <v>0.68328951171089036</v>
      </c>
    </row>
    <row r="2035" spans="1:1">
      <c r="A2035">
        <f ca="1">IF(COUNTIF($AA$1:$AG$24,2035)=0,RAND(),RAND()-1)</f>
        <v>0.26975275388134912</v>
      </c>
    </row>
    <row r="2036" spans="1:1">
      <c r="A2036">
        <f ca="1">IF(COUNTIF($AA$1:$AG$24,2036)=0,RAND(),RAND()-1)</f>
        <v>0.19392417836545406</v>
      </c>
    </row>
    <row r="2037" spans="1:1">
      <c r="A2037">
        <f ca="1">IF(COUNTIF($AA$1:$AG$24,2037)=0,RAND(),RAND()-1)</f>
        <v>0.36073622411955808</v>
      </c>
    </row>
    <row r="2038" spans="1:1">
      <c r="A2038">
        <f ca="1">IF(COUNTIF($AA$1:$AG$24,2038)=0,RAND(),RAND()-1)</f>
        <v>0.70562491382156711</v>
      </c>
    </row>
    <row r="2039" spans="1:1">
      <c r="A2039">
        <f ca="1">IF(COUNTIF($AA$1:$AG$24,2039)=0,RAND(),RAND()-1)</f>
        <v>0.52237450913226002</v>
      </c>
    </row>
    <row r="2040" spans="1:1">
      <c r="A2040">
        <f ca="1">IF(COUNTIF($AA$1:$AG$24,2040)=0,RAND(),RAND()-1)</f>
        <v>0.6478590068598955</v>
      </c>
    </row>
    <row r="2041" spans="1:1">
      <c r="A2041">
        <f ca="1">IF(COUNTIF($AA$1:$AG$24,2041)=0,RAND(),RAND()-1)</f>
        <v>0.30910027883554569</v>
      </c>
    </row>
    <row r="2042" spans="1:1">
      <c r="A2042">
        <f ca="1">IF(COUNTIF($AA$1:$AG$24,2042)=0,RAND(),RAND()-1)</f>
        <v>0.21748210623899877</v>
      </c>
    </row>
    <row r="2043" spans="1:1">
      <c r="A2043">
        <f ca="1">IF(COUNTIF($AA$1:$AG$24,2043)=0,RAND(),RAND()-1)</f>
        <v>0.46651657653764622</v>
      </c>
    </row>
    <row r="2044" spans="1:1">
      <c r="A2044">
        <f ca="1">IF(COUNTIF($AA$1:$AG$24,2044)=0,RAND(),RAND()-1)</f>
        <v>6.5059909221157231E-2</v>
      </c>
    </row>
    <row r="2045" spans="1:1">
      <c r="A2045">
        <f ca="1">IF(COUNTIF($AA$1:$AG$24,2045)=0,RAND(),RAND()-1)</f>
        <v>8.1279109772261493E-2</v>
      </c>
    </row>
    <row r="2046" spans="1:1">
      <c r="A2046">
        <f ca="1">IF(COUNTIF($AA$1:$AG$24,2046)=0,RAND(),RAND()-1)</f>
        <v>9.8463998151104515E-2</v>
      </c>
    </row>
    <row r="2047" spans="1:1">
      <c r="A2047">
        <f ca="1">IF(COUNTIF($AA$1:$AG$24,2047)=0,RAND(),RAND()-1)</f>
        <v>0.64205438345644184</v>
      </c>
    </row>
    <row r="2048" spans="1:1">
      <c r="A2048">
        <f ca="1">IF(COUNTIF($AA$1:$AG$24,2048)=0,RAND(),RAND()-1)</f>
        <v>0.12912322829136769</v>
      </c>
    </row>
    <row r="2049" spans="1:1">
      <c r="A2049">
        <f ca="1">IF(COUNTIF($AA$1:$AG$24,2049)=0,RAND(),RAND()-1)</f>
        <v>2.7434431416516136E-2</v>
      </c>
    </row>
  </sheetData>
  <sortState xmlns:xlrd2="http://schemas.microsoft.com/office/spreadsheetml/2017/richdata2" ref="S2:S26">
    <sortCondition ref="S1"/>
  </sortState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テスト作成シート">
                <anchor moveWithCells="1" sizeWithCells="1">
                  <from>
                    <xdr:col>5</xdr:col>
                    <xdr:colOff>304800</xdr:colOff>
                    <xdr:row>7</xdr:row>
                    <xdr:rowOff>0</xdr:rowOff>
                  </from>
                  <to>
                    <xdr:col>6</xdr:col>
                    <xdr:colOff>876300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Check Box 7">
              <controlPr defaultSize="0" autoFill="0" autoLine="0" autoPict="0">
                <anchor moveWithCells="1">
                  <from>
                    <xdr:col>13</xdr:col>
                    <xdr:colOff>38100</xdr:colOff>
                    <xdr:row>27</xdr:row>
                    <xdr:rowOff>63500</xdr:rowOff>
                  </from>
                  <to>
                    <xdr:col>13</xdr:col>
                    <xdr:colOff>723900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6" name="Button 85">
              <controlPr defaultSize="0" print="0" autoFill="0" autoPict="0" macro="[0]!正誤データ記録">
                <anchor moveWithCells="1" sizeWithCells="1">
                  <from>
                    <xdr:col>12</xdr:col>
                    <xdr:colOff>660400</xdr:colOff>
                    <xdr:row>28</xdr:row>
                    <xdr:rowOff>304800</xdr:rowOff>
                  </from>
                  <to>
                    <xdr:col>15</xdr:col>
                    <xdr:colOff>736600</xdr:colOff>
                    <xdr:row>31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" name="Button 92">
              <controlPr defaultSize="0" print="0" autoFill="0" autoPict="0" macro="[0]!一括チェックボタン1_Clic">
                <anchor moveWithCells="1" sizeWithCells="1">
                  <from>
                    <xdr:col>14</xdr:col>
                    <xdr:colOff>0</xdr:colOff>
                    <xdr:row>26</xdr:row>
                    <xdr:rowOff>304800</xdr:rowOff>
                  </from>
                  <to>
                    <xdr:col>16</xdr:col>
                    <xdr:colOff>88900</xdr:colOff>
                    <xdr:row>28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" name="Button 97">
              <controlPr defaultSize="0" print="0" autoFill="0" autoPict="0" macro="[0]!テスト39">
                <anchor moveWithCells="1" sizeWithCells="1">
                  <from>
                    <xdr:col>4</xdr:col>
                    <xdr:colOff>2857500</xdr:colOff>
                    <xdr:row>27</xdr:row>
                    <xdr:rowOff>127000</xdr:rowOff>
                  </from>
                  <to>
                    <xdr:col>7</xdr:col>
                    <xdr:colOff>482600</xdr:colOff>
                    <xdr:row>28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9" name="Button 100">
              <controlPr defaultSize="0" print="0" autoFill="0" autoPict="0" macro="[0]!テスト被りなし">
                <anchor moveWithCells="1" sizeWithCells="1">
                  <from>
                    <xdr:col>5</xdr:col>
                    <xdr:colOff>152400</xdr:colOff>
                    <xdr:row>11</xdr:row>
                    <xdr:rowOff>165100</xdr:rowOff>
                  </from>
                  <to>
                    <xdr:col>6</xdr:col>
                    <xdr:colOff>711200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538AF-5A4A-CE41-BCC1-B8963D9772FD}">
  <sheetPr codeName="Sheet4"/>
  <dimension ref="A1:N2002"/>
  <sheetViews>
    <sheetView zoomScale="70" zoomScaleNormal="70" workbookViewId="0">
      <selection activeCell="B1" sqref="B1:C5"/>
    </sheetView>
  </sheetViews>
  <sheetFormatPr baseColWidth="10" defaultColWidth="10.7109375" defaultRowHeight="20"/>
  <cols>
    <col min="1" max="1" width="4.7109375" style="3" customWidth="1"/>
    <col min="2" max="2" width="31.140625" customWidth="1"/>
    <col min="3" max="3" width="8.85546875" customWidth="1"/>
    <col min="4" max="4" width="34.42578125" customWidth="1"/>
  </cols>
  <sheetData>
    <row r="1" spans="1:13" ht="27">
      <c r="A1" s="4" t="s">
        <v>10</v>
      </c>
      <c r="B1" t="s">
        <v>180</v>
      </c>
      <c r="C1">
        <v>74</v>
      </c>
      <c r="E1" s="2"/>
      <c r="G1" s="6"/>
      <c r="H1" s="6"/>
      <c r="I1" s="6"/>
      <c r="J1" s="6"/>
      <c r="K1" s="6"/>
      <c r="L1" s="6"/>
      <c r="M1" s="6"/>
    </row>
    <row r="2" spans="1:13" ht="27">
      <c r="A2" s="4" t="s">
        <v>3970</v>
      </c>
      <c r="B2" t="s">
        <v>23</v>
      </c>
      <c r="C2">
        <v>6</v>
      </c>
      <c r="E2" s="2"/>
      <c r="G2" s="6"/>
      <c r="H2" s="6"/>
      <c r="I2" s="6"/>
      <c r="J2" s="6"/>
      <c r="K2" s="6"/>
      <c r="L2" s="6"/>
      <c r="M2" s="6"/>
    </row>
    <row r="3" spans="1:13" ht="27">
      <c r="A3" s="4" t="s">
        <v>19</v>
      </c>
      <c r="B3" t="s">
        <v>16</v>
      </c>
      <c r="C3">
        <v>4</v>
      </c>
      <c r="E3" s="2"/>
      <c r="G3" s="6"/>
      <c r="H3" s="6"/>
      <c r="I3" s="6"/>
      <c r="J3" s="6"/>
      <c r="K3" s="6"/>
      <c r="L3" s="6"/>
      <c r="M3" s="6"/>
    </row>
    <row r="4" spans="1:13" ht="27">
      <c r="A4" s="4" t="s">
        <v>3971</v>
      </c>
      <c r="B4" t="s">
        <v>126</v>
      </c>
      <c r="C4">
        <v>46</v>
      </c>
      <c r="E4" s="2"/>
      <c r="G4" s="6"/>
      <c r="H4" s="6"/>
      <c r="I4" s="6"/>
      <c r="J4" s="6"/>
      <c r="K4" s="6"/>
      <c r="L4" s="6"/>
      <c r="M4" s="6"/>
    </row>
    <row r="5" spans="1:13" ht="27">
      <c r="A5" s="4" t="s">
        <v>25</v>
      </c>
      <c r="B5" t="s">
        <v>186</v>
      </c>
      <c r="C5">
        <v>77</v>
      </c>
      <c r="E5" s="2"/>
      <c r="G5" s="6"/>
      <c r="H5" s="6"/>
      <c r="I5" s="6"/>
      <c r="J5" s="6"/>
      <c r="K5" s="6"/>
      <c r="L5" s="6"/>
      <c r="M5" s="6"/>
    </row>
    <row r="6" spans="1:13" ht="27">
      <c r="A6" s="4" t="s">
        <v>28</v>
      </c>
      <c r="B6" t="s">
        <v>120</v>
      </c>
      <c r="C6">
        <v>43</v>
      </c>
      <c r="E6" s="2"/>
      <c r="G6" s="6"/>
      <c r="H6" s="6"/>
      <c r="I6" s="6"/>
      <c r="J6" s="6"/>
      <c r="K6" s="6"/>
      <c r="L6" s="6"/>
      <c r="M6" s="6"/>
    </row>
    <row r="7" spans="1:13" ht="27">
      <c r="A7" s="4" t="s">
        <v>31</v>
      </c>
      <c r="B7" t="s">
        <v>7</v>
      </c>
      <c r="C7">
        <v>2</v>
      </c>
      <c r="E7" s="2"/>
      <c r="G7" s="6"/>
      <c r="H7" s="6"/>
      <c r="I7" s="6"/>
      <c r="J7" s="6"/>
      <c r="K7" s="6"/>
      <c r="L7" s="6"/>
      <c r="M7" s="6"/>
    </row>
    <row r="8" spans="1:13" ht="27">
      <c r="A8" s="4" t="s">
        <v>34</v>
      </c>
      <c r="B8" t="s">
        <v>78</v>
      </c>
      <c r="C8">
        <v>24</v>
      </c>
      <c r="E8" s="2"/>
      <c r="G8" s="6"/>
      <c r="H8" s="6"/>
      <c r="I8" s="6"/>
      <c r="J8" s="6"/>
      <c r="K8" s="6"/>
      <c r="L8" s="6"/>
      <c r="M8" s="6"/>
    </row>
    <row r="9" spans="1:13" ht="27">
      <c r="A9" s="4" t="s">
        <v>37</v>
      </c>
      <c r="B9" t="s">
        <v>196</v>
      </c>
      <c r="C9">
        <v>82</v>
      </c>
      <c r="E9" s="2"/>
      <c r="G9" s="6"/>
      <c r="H9" s="6"/>
      <c r="I9" s="6"/>
      <c r="J9" s="6"/>
      <c r="K9" s="6"/>
      <c r="L9" s="6"/>
      <c r="M9" s="6"/>
    </row>
    <row r="10" spans="1:13" ht="27">
      <c r="A10" s="4" t="s">
        <v>41</v>
      </c>
      <c r="B10" t="s">
        <v>182</v>
      </c>
      <c r="C10">
        <v>75</v>
      </c>
      <c r="E10" s="2"/>
      <c r="G10" s="6"/>
      <c r="H10" s="6"/>
      <c r="I10" s="6"/>
      <c r="J10" s="6"/>
      <c r="K10" s="6"/>
      <c r="L10" s="6"/>
      <c r="M10" s="6"/>
    </row>
    <row r="11" spans="1:13" ht="27">
      <c r="A11" s="4" t="s">
        <v>44</v>
      </c>
      <c r="B11" t="s">
        <v>88</v>
      </c>
      <c r="C11">
        <v>27</v>
      </c>
      <c r="E11" s="2"/>
      <c r="G11" s="6"/>
      <c r="H11" s="6"/>
      <c r="I11" s="6"/>
      <c r="J11" s="6"/>
      <c r="K11" s="6"/>
      <c r="L11" s="6"/>
      <c r="M11" s="6"/>
    </row>
    <row r="12" spans="1:13" ht="27">
      <c r="A12" s="4" t="s">
        <v>47</v>
      </c>
      <c r="B12" t="s">
        <v>57</v>
      </c>
      <c r="C12">
        <v>17</v>
      </c>
      <c r="E12" s="2"/>
      <c r="G12" s="6"/>
      <c r="H12" s="6"/>
      <c r="I12" s="6"/>
      <c r="J12" s="6"/>
      <c r="K12" s="6"/>
      <c r="L12" s="6"/>
      <c r="M12" s="6"/>
    </row>
    <row r="13" spans="1:13" ht="27">
      <c r="A13" s="4" t="s">
        <v>50</v>
      </c>
      <c r="B13" t="s">
        <v>108</v>
      </c>
      <c r="C13">
        <v>37</v>
      </c>
      <c r="E13" s="2"/>
      <c r="G13" s="6"/>
      <c r="H13" s="6"/>
      <c r="I13" s="6"/>
      <c r="J13" s="6"/>
      <c r="K13" s="6"/>
      <c r="L13" s="6"/>
      <c r="M13" s="6"/>
    </row>
    <row r="14" spans="1:13" ht="27">
      <c r="A14" s="4" t="s">
        <v>53</v>
      </c>
      <c r="B14" t="s">
        <v>140</v>
      </c>
      <c r="C14">
        <v>53</v>
      </c>
      <c r="E14" s="2"/>
      <c r="G14" s="6"/>
      <c r="H14" s="6"/>
      <c r="I14" s="6"/>
      <c r="J14" s="6"/>
      <c r="K14" s="6"/>
      <c r="L14" s="6"/>
      <c r="M14" s="6"/>
    </row>
    <row r="15" spans="1:13" ht="27">
      <c r="A15" s="4" t="s">
        <v>56</v>
      </c>
      <c r="B15" t="s">
        <v>12</v>
      </c>
      <c r="C15">
        <v>3</v>
      </c>
      <c r="E15" s="2"/>
      <c r="G15" s="6"/>
      <c r="H15" s="6"/>
      <c r="I15" s="6"/>
      <c r="J15" s="6"/>
      <c r="K15" s="6"/>
      <c r="L15" s="6"/>
      <c r="M15" s="6"/>
    </row>
    <row r="16" spans="1:13" ht="27">
      <c r="A16" s="4" t="s">
        <v>59</v>
      </c>
      <c r="B16" t="s">
        <v>116</v>
      </c>
      <c r="C16">
        <v>41</v>
      </c>
      <c r="E16" s="2"/>
      <c r="G16" s="6"/>
      <c r="H16" s="6"/>
      <c r="I16" s="6"/>
      <c r="J16" s="6"/>
      <c r="K16" s="6"/>
      <c r="L16" s="6"/>
      <c r="M16" s="6"/>
    </row>
    <row r="17" spans="1:14" ht="27">
      <c r="A17" s="4" t="s">
        <v>62</v>
      </c>
      <c r="B17" t="s">
        <v>192</v>
      </c>
      <c r="C17">
        <v>80</v>
      </c>
      <c r="E17" s="2"/>
      <c r="G17" s="6"/>
      <c r="H17" s="6"/>
      <c r="I17" s="6"/>
      <c r="J17" s="6"/>
      <c r="K17" s="6"/>
      <c r="L17" s="6"/>
      <c r="M17" s="6"/>
    </row>
    <row r="18" spans="1:14" ht="27">
      <c r="A18" s="4" t="s">
        <v>65</v>
      </c>
      <c r="B18" t="s">
        <v>198</v>
      </c>
      <c r="C18">
        <v>83</v>
      </c>
      <c r="E18" s="2"/>
      <c r="G18" s="6"/>
      <c r="H18" s="6"/>
      <c r="I18" s="6"/>
      <c r="J18" s="6"/>
      <c r="K18" s="6"/>
      <c r="L18" s="6"/>
      <c r="M18" s="6"/>
    </row>
    <row r="19" spans="1:14" ht="27">
      <c r="A19" s="4" t="s">
        <v>68</v>
      </c>
      <c r="B19" t="s">
        <v>118</v>
      </c>
      <c r="C19">
        <v>42</v>
      </c>
      <c r="E19" s="2"/>
      <c r="G19" s="6"/>
      <c r="H19" s="6"/>
      <c r="I19" s="6"/>
      <c r="J19" s="6"/>
      <c r="K19" s="6"/>
      <c r="L19" s="6"/>
      <c r="M19" s="6"/>
    </row>
    <row r="20" spans="1:14" ht="27">
      <c r="A20" s="4" t="s">
        <v>71</v>
      </c>
      <c r="B20" t="s">
        <v>75</v>
      </c>
      <c r="C20">
        <v>23</v>
      </c>
      <c r="E20" s="2"/>
      <c r="G20" s="6"/>
      <c r="H20" s="6"/>
      <c r="I20" s="6"/>
      <c r="J20" s="6"/>
      <c r="K20" s="6"/>
      <c r="L20" s="6"/>
      <c r="M20" s="6"/>
    </row>
    <row r="21" spans="1:14" ht="27">
      <c r="A21" s="4" t="s">
        <v>74</v>
      </c>
      <c r="B21" t="s">
        <v>92</v>
      </c>
      <c r="C21">
        <v>29</v>
      </c>
      <c r="E21" s="2"/>
      <c r="G21" s="6"/>
      <c r="H21" s="6"/>
      <c r="I21" s="6"/>
      <c r="J21" s="6"/>
      <c r="K21" s="6"/>
      <c r="L21" s="6"/>
      <c r="M21" s="6"/>
    </row>
    <row r="22" spans="1:14" ht="27">
      <c r="A22" s="4" t="s">
        <v>77</v>
      </c>
      <c r="B22" t="s">
        <v>212</v>
      </c>
      <c r="C22">
        <v>90</v>
      </c>
      <c r="E22" s="2"/>
      <c r="G22" s="6"/>
      <c r="H22" s="6"/>
      <c r="I22" s="6"/>
      <c r="J22" s="6"/>
      <c r="K22" s="6"/>
      <c r="L22" s="6"/>
      <c r="M22" s="6"/>
    </row>
    <row r="23" spans="1:14" ht="27">
      <c r="A23" s="4" t="s">
        <v>80</v>
      </c>
      <c r="B23" t="s">
        <v>170</v>
      </c>
      <c r="C23">
        <v>68</v>
      </c>
      <c r="E23" s="2"/>
      <c r="G23" s="6"/>
      <c r="H23" s="6"/>
      <c r="I23" s="6"/>
      <c r="J23" s="6"/>
      <c r="K23" s="6"/>
      <c r="L23" s="6"/>
      <c r="M23" s="6"/>
    </row>
    <row r="24" spans="1:14" ht="27">
      <c r="A24" s="4" t="s">
        <v>83</v>
      </c>
      <c r="B24" t="s">
        <v>223</v>
      </c>
      <c r="C24">
        <v>95</v>
      </c>
      <c r="E24" s="2"/>
      <c r="G24" s="6"/>
      <c r="H24" s="6"/>
      <c r="I24" s="6"/>
      <c r="J24" s="6"/>
      <c r="K24" s="6"/>
      <c r="L24" s="6"/>
      <c r="M24" s="6"/>
    </row>
    <row r="25" spans="1:14" ht="27">
      <c r="A25" s="4" t="s">
        <v>87</v>
      </c>
      <c r="B25" t="s">
        <v>105</v>
      </c>
      <c r="C25">
        <v>35</v>
      </c>
      <c r="E25" s="2"/>
      <c r="G25" s="6"/>
      <c r="H25" s="6"/>
      <c r="I25" s="6"/>
      <c r="J25" s="6"/>
      <c r="K25" s="6"/>
      <c r="L25" s="6"/>
      <c r="M25" s="6"/>
    </row>
    <row r="26" spans="1:14" ht="27">
      <c r="E26" s="2"/>
      <c r="H26" s="6"/>
    </row>
    <row r="27" spans="1:14" ht="22">
      <c r="B27">
        <f>コンソール!G2</f>
        <v>100</v>
      </c>
      <c r="C27">
        <f>コンソール!G1</f>
        <v>1</v>
      </c>
      <c r="E27" s="2"/>
    </row>
    <row r="28" spans="1:14" ht="22">
      <c r="E28" s="2"/>
    </row>
    <row r="29" spans="1:14" ht="22">
      <c r="E29" s="2"/>
    </row>
    <row r="30" spans="1:14" ht="27">
      <c r="E30" s="2"/>
      <c r="H30" s="8"/>
      <c r="M30" s="6"/>
      <c r="N30" s="6"/>
    </row>
    <row r="31" spans="1:14" ht="27">
      <c r="E31" s="2"/>
      <c r="H31" s="8"/>
      <c r="M31" s="6"/>
      <c r="N31" s="6"/>
    </row>
    <row r="32" spans="1:14" ht="27">
      <c r="E32" s="2"/>
      <c r="H32" s="8"/>
      <c r="M32" s="6"/>
      <c r="N32" s="6"/>
    </row>
    <row r="33" spans="5:14" ht="27">
      <c r="E33" s="2"/>
      <c r="H33" s="8"/>
      <c r="M33" s="6"/>
      <c r="N33" s="6"/>
    </row>
    <row r="34" spans="5:14" ht="27">
      <c r="E34" s="2"/>
      <c r="H34" s="8"/>
      <c r="M34" s="6"/>
      <c r="N34" s="6"/>
    </row>
    <row r="35" spans="5:14" ht="27">
      <c r="E35" s="2"/>
      <c r="H35" s="8"/>
      <c r="N35" s="6"/>
    </row>
    <row r="36" spans="5:14" ht="27">
      <c r="E36" s="2"/>
      <c r="H36" s="8"/>
      <c r="M36" s="6"/>
      <c r="N36" s="6"/>
    </row>
    <row r="37" spans="5:14" ht="27">
      <c r="E37" s="2"/>
      <c r="H37" s="8"/>
      <c r="M37" s="6"/>
      <c r="N37" s="6"/>
    </row>
    <row r="38" spans="5:14" ht="27">
      <c r="E38" s="2"/>
      <c r="H38" s="8"/>
      <c r="M38" s="6"/>
      <c r="N38" s="6"/>
    </row>
    <row r="39" spans="5:14" ht="27">
      <c r="E39" s="2"/>
      <c r="H39" s="8"/>
      <c r="M39" s="6"/>
      <c r="N39" s="6"/>
    </row>
    <row r="40" spans="5:14" ht="27">
      <c r="E40" s="2"/>
      <c r="H40" s="8"/>
      <c r="M40" s="6"/>
    </row>
    <row r="41" spans="5:14" ht="27">
      <c r="E41" s="2"/>
      <c r="H41" s="8"/>
      <c r="M41" s="6"/>
      <c r="N41" s="6"/>
    </row>
    <row r="42" spans="5:14" ht="27">
      <c r="E42" s="2"/>
      <c r="H42" s="8"/>
      <c r="M42" s="6"/>
    </row>
    <row r="43" spans="5:14" ht="27">
      <c r="E43" s="2"/>
      <c r="H43" s="8"/>
      <c r="M43" s="6"/>
      <c r="N43" s="6"/>
    </row>
    <row r="44" spans="5:14" ht="27">
      <c r="E44" s="2"/>
      <c r="H44" s="8"/>
      <c r="M44" s="6"/>
      <c r="N44" s="6"/>
    </row>
    <row r="45" spans="5:14" ht="27">
      <c r="E45" s="2"/>
      <c r="H45" s="8"/>
      <c r="M45" s="6"/>
    </row>
    <row r="46" spans="5:14" ht="27">
      <c r="E46" s="2"/>
      <c r="H46" s="8"/>
      <c r="M46" s="6"/>
      <c r="N46" s="6"/>
    </row>
    <row r="47" spans="5:14" ht="27">
      <c r="E47" s="2"/>
      <c r="H47" s="8"/>
      <c r="M47" s="6"/>
    </row>
    <row r="48" spans="5:14" ht="27">
      <c r="E48" s="2"/>
      <c r="H48" s="8"/>
      <c r="M48" s="6"/>
    </row>
    <row r="49" spans="5:14" ht="27">
      <c r="E49" s="2"/>
      <c r="H49" s="8"/>
      <c r="M49" s="6"/>
    </row>
    <row r="50" spans="5:14" ht="27">
      <c r="E50" s="2"/>
      <c r="H50" s="8"/>
      <c r="M50" s="6"/>
      <c r="N50" s="6"/>
    </row>
    <row r="51" spans="5:14" ht="27">
      <c r="E51" s="2"/>
      <c r="H51" s="8"/>
      <c r="J51" s="6"/>
      <c r="M51" s="6"/>
      <c r="N51" s="6"/>
    </row>
    <row r="52" spans="5:14" ht="27">
      <c r="E52" s="2"/>
      <c r="H52" s="8"/>
      <c r="J52" s="6"/>
      <c r="M52" s="6"/>
    </row>
    <row r="53" spans="5:14" ht="27">
      <c r="E53" s="2"/>
      <c r="H53" s="8"/>
      <c r="J53" s="6"/>
      <c r="N53" s="6"/>
    </row>
    <row r="54" spans="5:14" ht="27">
      <c r="E54" s="2"/>
      <c r="H54" s="8"/>
      <c r="J54" s="6"/>
      <c r="M54" s="6"/>
      <c r="N54" s="6"/>
    </row>
    <row r="55" spans="5:14" ht="22">
      <c r="E55" s="2"/>
    </row>
    <row r="56" spans="5:14" ht="27">
      <c r="E56" s="2"/>
      <c r="J56" s="6"/>
    </row>
    <row r="57" spans="5:14" ht="22">
      <c r="E57" s="2"/>
    </row>
    <row r="58" spans="5:14" ht="27">
      <c r="E58" s="2"/>
      <c r="J58" s="6"/>
    </row>
    <row r="59" spans="5:14" ht="22">
      <c r="E59" s="2"/>
    </row>
    <row r="60" spans="5:14" ht="27">
      <c r="E60" s="2"/>
      <c r="J60" s="6"/>
    </row>
    <row r="61" spans="5:14" ht="22">
      <c r="E61" s="2"/>
    </row>
    <row r="62" spans="5:14" ht="27">
      <c r="E62" s="2"/>
      <c r="J62" s="6"/>
    </row>
    <row r="63" spans="5:14" ht="22">
      <c r="E63" s="2"/>
    </row>
    <row r="64" spans="5:14" ht="27">
      <c r="E64" s="2"/>
      <c r="J64" s="6"/>
    </row>
    <row r="65" spans="5:10" ht="22">
      <c r="E65" s="2"/>
    </row>
    <row r="66" spans="5:10" ht="27">
      <c r="E66" s="2"/>
      <c r="J66" s="6"/>
    </row>
    <row r="67" spans="5:10" ht="22">
      <c r="E67" s="2"/>
    </row>
    <row r="68" spans="5:10" ht="27">
      <c r="E68" s="2"/>
      <c r="J68" s="6"/>
    </row>
    <row r="69" spans="5:10" ht="22">
      <c r="E69" s="2"/>
    </row>
    <row r="70" spans="5:10" ht="27">
      <c r="E70" s="2"/>
      <c r="J70" s="6"/>
    </row>
    <row r="71" spans="5:10" ht="22">
      <c r="E71" s="2"/>
    </row>
    <row r="72" spans="5:10" ht="27">
      <c r="E72" s="2"/>
      <c r="J72" s="6"/>
    </row>
    <row r="73" spans="5:10" ht="22">
      <c r="E73" s="2"/>
    </row>
    <row r="74" spans="5:10" ht="27">
      <c r="E74" s="2"/>
      <c r="J74" s="6"/>
    </row>
    <row r="75" spans="5:10" ht="22">
      <c r="E75" s="2"/>
    </row>
    <row r="76" spans="5:10" ht="27">
      <c r="E76" s="2"/>
      <c r="J76" s="6"/>
    </row>
    <row r="77" spans="5:10" ht="22">
      <c r="E77" s="2"/>
    </row>
    <row r="78" spans="5:10" ht="27">
      <c r="E78" s="2"/>
      <c r="J78" s="6"/>
    </row>
    <row r="79" spans="5:10" ht="22">
      <c r="E79" s="2"/>
    </row>
    <row r="80" spans="5:10" ht="27">
      <c r="E80" s="2"/>
      <c r="J80" s="6"/>
    </row>
    <row r="81" spans="5:10" ht="22">
      <c r="E81" s="2"/>
    </row>
    <row r="82" spans="5:10" ht="27">
      <c r="E82" s="2"/>
      <c r="J82" s="6"/>
    </row>
    <row r="83" spans="5:10" ht="22">
      <c r="E83" s="2"/>
    </row>
    <row r="84" spans="5:10" ht="27">
      <c r="E84" s="2"/>
      <c r="J84" s="6"/>
    </row>
    <row r="85" spans="5:10" ht="22">
      <c r="E85" s="2"/>
    </row>
    <row r="86" spans="5:10" ht="27">
      <c r="E86" s="2"/>
      <c r="J86" s="6"/>
    </row>
    <row r="87" spans="5:10" ht="22">
      <c r="E87" s="2"/>
    </row>
    <row r="88" spans="5:10" ht="27">
      <c r="E88" s="2"/>
      <c r="J88" s="6"/>
    </row>
    <row r="89" spans="5:10" ht="22">
      <c r="E89" s="2"/>
    </row>
    <row r="90" spans="5:10" ht="27">
      <c r="E90" s="2"/>
      <c r="J90" s="6"/>
    </row>
    <row r="91" spans="5:10" ht="22">
      <c r="E91" s="2"/>
    </row>
    <row r="92" spans="5:10" ht="27">
      <c r="E92" s="2"/>
      <c r="J92" s="6"/>
    </row>
    <row r="93" spans="5:10" ht="22">
      <c r="E93" s="2"/>
    </row>
    <row r="94" spans="5:10" ht="27">
      <c r="E94" s="2"/>
      <c r="J94" s="6"/>
    </row>
    <row r="95" spans="5:10" ht="22">
      <c r="E95" s="2"/>
    </row>
    <row r="96" spans="5:10" ht="27">
      <c r="E96" s="2"/>
      <c r="J96" s="6"/>
    </row>
    <row r="97" spans="5:10" ht="22">
      <c r="E97" s="2"/>
    </row>
    <row r="98" spans="5:10" ht="27">
      <c r="E98" s="2"/>
      <c r="J98" s="6"/>
    </row>
    <row r="99" spans="5:10" ht="22">
      <c r="E99" s="2"/>
    </row>
    <row r="100" spans="5:10" ht="27">
      <c r="E100" s="2"/>
      <c r="J100" s="6"/>
    </row>
    <row r="101" spans="5:10" ht="22">
      <c r="E101" s="2"/>
    </row>
    <row r="102" spans="5:10" ht="27">
      <c r="E102" s="2"/>
      <c r="J102" s="6"/>
    </row>
    <row r="103" spans="5:10" ht="22">
      <c r="E103" s="2"/>
    </row>
    <row r="104" spans="5:10" ht="27">
      <c r="E104" s="2"/>
      <c r="J104" s="6"/>
    </row>
    <row r="105" spans="5:10" ht="22">
      <c r="E105" s="2"/>
    </row>
    <row r="106" spans="5:10" ht="27">
      <c r="E106" s="2"/>
      <c r="J106" s="6"/>
    </row>
    <row r="107" spans="5:10" ht="22">
      <c r="E107" s="2"/>
    </row>
    <row r="108" spans="5:10" ht="27">
      <c r="E108" s="2"/>
      <c r="J108" s="6"/>
    </row>
    <row r="109" spans="5:10" ht="22">
      <c r="E109" s="2"/>
    </row>
    <row r="110" spans="5:10" ht="27">
      <c r="E110" s="2"/>
      <c r="J110" s="6"/>
    </row>
    <row r="111" spans="5:10" ht="22">
      <c r="E111" s="2"/>
    </row>
    <row r="112" spans="5:10" ht="27">
      <c r="E112" s="2"/>
      <c r="J112" s="6"/>
    </row>
    <row r="113" spans="5:10" ht="22">
      <c r="E113" s="2"/>
    </row>
    <row r="114" spans="5:10" ht="27">
      <c r="E114" s="2"/>
      <c r="J114" s="6"/>
    </row>
    <row r="115" spans="5:10" ht="22">
      <c r="E115" s="2"/>
    </row>
    <row r="116" spans="5:10" ht="27">
      <c r="E116" s="2"/>
      <c r="J116" s="6"/>
    </row>
    <row r="117" spans="5:10" ht="22">
      <c r="E117" s="2"/>
    </row>
    <row r="118" spans="5:10" ht="27">
      <c r="E118" s="2"/>
      <c r="J118" s="6"/>
    </row>
    <row r="119" spans="5:10" ht="22">
      <c r="E119" s="2"/>
    </row>
    <row r="120" spans="5:10" ht="27">
      <c r="E120" s="2"/>
      <c r="J120" s="6"/>
    </row>
    <row r="121" spans="5:10" ht="22">
      <c r="E121" s="2"/>
    </row>
    <row r="122" spans="5:10" ht="27">
      <c r="E122" s="2"/>
      <c r="J122" s="6"/>
    </row>
    <row r="123" spans="5:10" ht="22">
      <c r="E123" s="2"/>
    </row>
    <row r="124" spans="5:10" ht="27">
      <c r="E124" s="2"/>
      <c r="J124" s="6"/>
    </row>
    <row r="125" spans="5:10" ht="22">
      <c r="E125" s="2"/>
    </row>
    <row r="126" spans="5:10" ht="27">
      <c r="E126" s="2"/>
      <c r="J126" s="6"/>
    </row>
    <row r="127" spans="5:10" ht="22">
      <c r="E127" s="2"/>
    </row>
    <row r="128" spans="5:10" ht="27">
      <c r="E128" s="2"/>
      <c r="J128" s="6"/>
    </row>
    <row r="129" spans="5:10" ht="22">
      <c r="E129" s="2"/>
    </row>
    <row r="130" spans="5:10" ht="27">
      <c r="E130" s="2"/>
      <c r="J130" s="6"/>
    </row>
    <row r="131" spans="5:10" ht="22">
      <c r="E131" s="2"/>
    </row>
    <row r="132" spans="5:10" ht="27">
      <c r="E132" s="2"/>
      <c r="J132" s="6"/>
    </row>
    <row r="133" spans="5:10" ht="22">
      <c r="E133" s="2"/>
    </row>
    <row r="134" spans="5:10" ht="27">
      <c r="E134" s="2"/>
      <c r="J134" s="6"/>
    </row>
    <row r="135" spans="5:10" ht="22">
      <c r="E135" s="2"/>
    </row>
    <row r="136" spans="5:10" ht="27">
      <c r="E136" s="2"/>
      <c r="J136" s="6"/>
    </row>
    <row r="137" spans="5:10" ht="22">
      <c r="E137" s="2"/>
    </row>
    <row r="138" spans="5:10" ht="27">
      <c r="E138" s="2"/>
      <c r="J138" s="6"/>
    </row>
    <row r="139" spans="5:10" ht="22">
      <c r="E139" s="2"/>
    </row>
    <row r="140" spans="5:10" ht="27">
      <c r="E140" s="2"/>
      <c r="J140" s="6"/>
    </row>
    <row r="141" spans="5:10" ht="22">
      <c r="E141" s="2"/>
    </row>
    <row r="142" spans="5:10" ht="27">
      <c r="E142" s="2"/>
      <c r="J142" s="6"/>
    </row>
    <row r="143" spans="5:10" ht="22">
      <c r="E143" s="2"/>
    </row>
    <row r="144" spans="5:10" ht="27">
      <c r="E144" s="2"/>
      <c r="J144" s="6"/>
    </row>
    <row r="145" spans="5:10" ht="22">
      <c r="E145" s="2"/>
    </row>
    <row r="146" spans="5:10" ht="27">
      <c r="E146" s="2"/>
      <c r="J146" s="6"/>
    </row>
    <row r="147" spans="5:10" ht="22">
      <c r="E147" s="2"/>
    </row>
    <row r="148" spans="5:10" ht="27">
      <c r="E148" s="2"/>
      <c r="J148" s="6"/>
    </row>
    <row r="149" spans="5:10" ht="22">
      <c r="E149" s="2"/>
    </row>
    <row r="150" spans="5:10" ht="27">
      <c r="E150" s="2"/>
      <c r="J150" s="6"/>
    </row>
    <row r="151" spans="5:10" ht="22">
      <c r="E151" s="2"/>
    </row>
    <row r="152" spans="5:10" ht="27">
      <c r="E152" s="2"/>
      <c r="J152" s="6"/>
    </row>
    <row r="153" spans="5:10" ht="22">
      <c r="E153" s="2"/>
    </row>
    <row r="154" spans="5:10" ht="27">
      <c r="E154" s="2"/>
      <c r="J154" s="6"/>
    </row>
    <row r="155" spans="5:10" ht="22">
      <c r="E155" s="2"/>
    </row>
    <row r="156" spans="5:10" ht="27">
      <c r="E156" s="2"/>
      <c r="J156" s="6"/>
    </row>
    <row r="157" spans="5:10" ht="22">
      <c r="E157" s="2"/>
    </row>
    <row r="158" spans="5:10" ht="27">
      <c r="E158" s="2"/>
      <c r="J158" s="6"/>
    </row>
    <row r="159" spans="5:10" ht="22">
      <c r="E159" s="2"/>
    </row>
    <row r="160" spans="5:10" ht="27">
      <c r="E160" s="2"/>
      <c r="J160" s="6"/>
    </row>
    <row r="161" spans="5:10" ht="22">
      <c r="E161" s="2"/>
    </row>
    <row r="162" spans="5:10" ht="27">
      <c r="E162" s="2"/>
      <c r="J162" s="6"/>
    </row>
    <row r="163" spans="5:10" ht="22">
      <c r="E163" s="2"/>
    </row>
    <row r="164" spans="5:10" ht="27">
      <c r="E164" s="2"/>
      <c r="J164" s="6"/>
    </row>
    <row r="165" spans="5:10" ht="22">
      <c r="E165" s="2"/>
    </row>
    <row r="166" spans="5:10" ht="27">
      <c r="E166" s="2"/>
      <c r="J166" s="6"/>
    </row>
    <row r="167" spans="5:10" ht="22">
      <c r="E167" s="2"/>
    </row>
    <row r="168" spans="5:10" ht="27">
      <c r="E168" s="2"/>
      <c r="J168" s="6"/>
    </row>
    <row r="169" spans="5:10" ht="22">
      <c r="E169" s="2"/>
    </row>
    <row r="170" spans="5:10" ht="27">
      <c r="E170" s="2"/>
      <c r="J170" s="6"/>
    </row>
    <row r="171" spans="5:10" ht="22">
      <c r="E171" s="2"/>
    </row>
    <row r="172" spans="5:10" ht="27">
      <c r="E172" s="2"/>
      <c r="J172" s="6"/>
    </row>
    <row r="173" spans="5:10" ht="22">
      <c r="E173" s="2"/>
    </row>
    <row r="174" spans="5:10" ht="27">
      <c r="E174" s="2"/>
      <c r="J174" s="6"/>
    </row>
    <row r="175" spans="5:10" ht="22">
      <c r="E175" s="2"/>
    </row>
    <row r="176" spans="5:10" ht="27">
      <c r="E176" s="2"/>
      <c r="J176" s="6"/>
    </row>
    <row r="177" spans="5:10" ht="22">
      <c r="E177" s="2"/>
    </row>
    <row r="178" spans="5:10" ht="27">
      <c r="E178" s="2"/>
      <c r="J178" s="6"/>
    </row>
    <row r="179" spans="5:10" ht="22">
      <c r="E179" s="2"/>
    </row>
    <row r="180" spans="5:10" ht="27">
      <c r="E180" s="2"/>
      <c r="J180" s="6"/>
    </row>
    <row r="181" spans="5:10" ht="22">
      <c r="E181" s="2"/>
    </row>
    <row r="182" spans="5:10" ht="27">
      <c r="E182" s="2"/>
      <c r="J182" s="6"/>
    </row>
    <row r="183" spans="5:10" ht="22">
      <c r="E183" s="2"/>
    </row>
    <row r="184" spans="5:10" ht="27">
      <c r="E184" s="2"/>
      <c r="J184" s="6"/>
    </row>
    <row r="185" spans="5:10" ht="22">
      <c r="E185" s="2"/>
    </row>
    <row r="186" spans="5:10" ht="27">
      <c r="E186" s="2"/>
      <c r="J186" s="6"/>
    </row>
    <row r="187" spans="5:10" ht="22">
      <c r="E187" s="2"/>
    </row>
    <row r="188" spans="5:10" ht="27">
      <c r="E188" s="2"/>
      <c r="J188" s="6"/>
    </row>
    <row r="189" spans="5:10" ht="22">
      <c r="E189" s="2"/>
    </row>
    <row r="190" spans="5:10" ht="27">
      <c r="E190" s="2"/>
      <c r="J190" s="6"/>
    </row>
    <row r="191" spans="5:10" ht="22">
      <c r="E191" s="2"/>
    </row>
    <row r="192" spans="5:10" ht="27">
      <c r="E192" s="2"/>
      <c r="J192" s="6"/>
    </row>
    <row r="193" spans="5:10" ht="22">
      <c r="E193" s="2"/>
    </row>
    <row r="194" spans="5:10" ht="27">
      <c r="E194" s="2"/>
      <c r="J194" s="6"/>
    </row>
    <row r="195" spans="5:10" ht="22">
      <c r="E195" s="2"/>
    </row>
    <row r="196" spans="5:10" ht="27">
      <c r="E196" s="2"/>
      <c r="J196" s="6"/>
    </row>
    <row r="197" spans="5:10" ht="22">
      <c r="E197" s="2"/>
    </row>
    <row r="198" spans="5:10" ht="27">
      <c r="E198" s="2"/>
      <c r="J198" s="6"/>
    </row>
    <row r="199" spans="5:10" ht="22">
      <c r="E199" s="2"/>
    </row>
    <row r="200" spans="5:10" ht="27">
      <c r="E200" s="2"/>
      <c r="J200" s="6"/>
    </row>
    <row r="201" spans="5:10" ht="22">
      <c r="E201" s="2"/>
    </row>
    <row r="202" spans="5:10" ht="27">
      <c r="E202" s="2"/>
      <c r="J202" s="6"/>
    </row>
    <row r="203" spans="5:10" ht="22">
      <c r="E203" s="2"/>
    </row>
    <row r="204" spans="5:10" ht="27">
      <c r="E204" s="2"/>
      <c r="J204" s="6"/>
    </row>
    <row r="205" spans="5:10" ht="22">
      <c r="E205" s="2"/>
    </row>
    <row r="206" spans="5:10" ht="27">
      <c r="E206" s="2"/>
      <c r="J206" s="6"/>
    </row>
    <row r="207" spans="5:10" ht="22">
      <c r="E207" s="2"/>
    </row>
    <row r="208" spans="5:10" ht="27">
      <c r="E208" s="2"/>
      <c r="J208" s="6"/>
    </row>
    <row r="209" spans="5:10" ht="22">
      <c r="E209" s="2"/>
    </row>
    <row r="210" spans="5:10" ht="27">
      <c r="E210" s="2"/>
      <c r="J210" s="6"/>
    </row>
    <row r="211" spans="5:10" ht="22">
      <c r="E211" s="2"/>
    </row>
    <row r="212" spans="5:10" ht="27">
      <c r="E212" s="2"/>
      <c r="J212" s="6"/>
    </row>
    <row r="213" spans="5:10" ht="22">
      <c r="E213" s="2"/>
    </row>
    <row r="214" spans="5:10" ht="27">
      <c r="E214" s="2"/>
      <c r="J214" s="6"/>
    </row>
    <row r="215" spans="5:10" ht="22">
      <c r="E215" s="2"/>
    </row>
    <row r="216" spans="5:10" ht="27">
      <c r="E216" s="2"/>
      <c r="J216" s="6"/>
    </row>
    <row r="217" spans="5:10" ht="22">
      <c r="E217" s="2"/>
    </row>
    <row r="218" spans="5:10" ht="27">
      <c r="E218" s="2"/>
      <c r="J218" s="6"/>
    </row>
    <row r="219" spans="5:10" ht="22">
      <c r="E219" s="2"/>
    </row>
    <row r="220" spans="5:10" ht="27">
      <c r="E220" s="2"/>
      <c r="J220" s="6"/>
    </row>
    <row r="221" spans="5:10" ht="22">
      <c r="E221" s="2"/>
    </row>
    <row r="222" spans="5:10" ht="27">
      <c r="E222" s="2"/>
      <c r="J222" s="6"/>
    </row>
    <row r="223" spans="5:10" ht="22">
      <c r="E223" s="2"/>
    </row>
    <row r="224" spans="5:10" ht="27">
      <c r="E224" s="2"/>
      <c r="J224" s="6"/>
    </row>
    <row r="225" spans="5:10" ht="22">
      <c r="E225" s="2"/>
    </row>
    <row r="226" spans="5:10" ht="27">
      <c r="E226" s="2"/>
      <c r="J226" s="6"/>
    </row>
    <row r="227" spans="5:10" ht="22">
      <c r="E227" s="2"/>
    </row>
    <row r="228" spans="5:10" ht="27">
      <c r="E228" s="2"/>
      <c r="J228" s="6"/>
    </row>
    <row r="229" spans="5:10" ht="22">
      <c r="E229" s="2"/>
    </row>
    <row r="230" spans="5:10" ht="27">
      <c r="E230" s="2"/>
      <c r="J230" s="6"/>
    </row>
    <row r="231" spans="5:10" ht="22">
      <c r="E231" s="2"/>
    </row>
    <row r="232" spans="5:10" ht="27">
      <c r="E232" s="2"/>
      <c r="J232" s="6"/>
    </row>
    <row r="233" spans="5:10" ht="22">
      <c r="E233" s="2"/>
    </row>
    <row r="234" spans="5:10" ht="22">
      <c r="E234" s="2"/>
    </row>
    <row r="235" spans="5:10" ht="22">
      <c r="E235" s="2"/>
    </row>
    <row r="236" spans="5:10" ht="22">
      <c r="E236" s="2"/>
    </row>
    <row r="237" spans="5:10" ht="22">
      <c r="E237" s="2"/>
    </row>
    <row r="238" spans="5:10" ht="22">
      <c r="E238" s="2"/>
    </row>
    <row r="239" spans="5:10" ht="22">
      <c r="E239" s="2"/>
    </row>
    <row r="240" spans="5:10" ht="22">
      <c r="E240" s="2"/>
    </row>
    <row r="241" spans="5:5" ht="22">
      <c r="E241" s="2"/>
    </row>
    <row r="242" spans="5:5" ht="22">
      <c r="E242" s="2"/>
    </row>
    <row r="243" spans="5:5" ht="22">
      <c r="E243" s="2"/>
    </row>
    <row r="244" spans="5:5" ht="22">
      <c r="E244" s="2"/>
    </row>
    <row r="245" spans="5:5" ht="22">
      <c r="E245" s="2"/>
    </row>
    <row r="246" spans="5:5" ht="22">
      <c r="E246" s="2"/>
    </row>
    <row r="247" spans="5:5" ht="22">
      <c r="E247" s="2"/>
    </row>
    <row r="248" spans="5:5" ht="22">
      <c r="E248" s="2"/>
    </row>
    <row r="249" spans="5:5" ht="22">
      <c r="E249" s="2"/>
    </row>
    <row r="250" spans="5:5" ht="22">
      <c r="E250" s="2"/>
    </row>
    <row r="251" spans="5:5" ht="22">
      <c r="E251" s="2"/>
    </row>
    <row r="252" spans="5:5" ht="22">
      <c r="E252" s="2"/>
    </row>
    <row r="253" spans="5:5" ht="22">
      <c r="E253" s="2"/>
    </row>
    <row r="254" spans="5:5" ht="22">
      <c r="E254" s="2"/>
    </row>
    <row r="255" spans="5:5" ht="22">
      <c r="E255" s="2"/>
    </row>
    <row r="256" spans="5:5" ht="22">
      <c r="E256" s="2"/>
    </row>
    <row r="257" spans="5:5" ht="22">
      <c r="E257" s="2"/>
    </row>
    <row r="258" spans="5:5" ht="22">
      <c r="E258" s="2"/>
    </row>
    <row r="259" spans="5:5" ht="22">
      <c r="E259" s="2"/>
    </row>
    <row r="260" spans="5:5" ht="22">
      <c r="E260" s="2"/>
    </row>
    <row r="261" spans="5:5" ht="22">
      <c r="E261" s="2"/>
    </row>
    <row r="262" spans="5:5" ht="22">
      <c r="E262" s="2"/>
    </row>
    <row r="263" spans="5:5" ht="22">
      <c r="E263" s="2"/>
    </row>
    <row r="264" spans="5:5" ht="22">
      <c r="E264" s="2"/>
    </row>
    <row r="265" spans="5:5" ht="22">
      <c r="E265" s="2"/>
    </row>
    <row r="266" spans="5:5" ht="22">
      <c r="E266" s="2"/>
    </row>
    <row r="267" spans="5:5" ht="22">
      <c r="E267" s="2"/>
    </row>
    <row r="268" spans="5:5" ht="22">
      <c r="E268" s="2"/>
    </row>
    <row r="269" spans="5:5" ht="22">
      <c r="E269" s="2"/>
    </row>
    <row r="270" spans="5:5" ht="22">
      <c r="E270" s="2"/>
    </row>
    <row r="271" spans="5:5" ht="22">
      <c r="E271" s="2"/>
    </row>
    <row r="272" spans="5:5" ht="22">
      <c r="E272" s="2"/>
    </row>
    <row r="273" spans="5:5" ht="22">
      <c r="E273" s="2"/>
    </row>
    <row r="274" spans="5:5" ht="22">
      <c r="E274" s="2"/>
    </row>
    <row r="275" spans="5:5" ht="22">
      <c r="E275" s="2"/>
    </row>
    <row r="276" spans="5:5" ht="22">
      <c r="E276" s="2"/>
    </row>
    <row r="277" spans="5:5" ht="22">
      <c r="E277" s="2"/>
    </row>
    <row r="278" spans="5:5" ht="22">
      <c r="E278" s="2"/>
    </row>
    <row r="279" spans="5:5" ht="22">
      <c r="E279" s="2"/>
    </row>
    <row r="280" spans="5:5" ht="22">
      <c r="E280" s="2"/>
    </row>
    <row r="281" spans="5:5" ht="22">
      <c r="E281" s="2"/>
    </row>
    <row r="282" spans="5:5" ht="22">
      <c r="E282" s="2"/>
    </row>
    <row r="283" spans="5:5" ht="22">
      <c r="E283" s="2"/>
    </row>
    <row r="284" spans="5:5" ht="22">
      <c r="E284" s="2"/>
    </row>
    <row r="285" spans="5:5" ht="22">
      <c r="E285" s="2"/>
    </row>
    <row r="286" spans="5:5" ht="22">
      <c r="E286" s="2"/>
    </row>
    <row r="287" spans="5:5" ht="22">
      <c r="E287" s="2"/>
    </row>
    <row r="288" spans="5:5" ht="22">
      <c r="E288" s="2"/>
    </row>
    <row r="289" spans="5:5" ht="22">
      <c r="E289" s="2"/>
    </row>
    <row r="290" spans="5:5" ht="22">
      <c r="E290" s="2"/>
    </row>
    <row r="291" spans="5:5" ht="22">
      <c r="E291" s="2"/>
    </row>
    <row r="292" spans="5:5" ht="22">
      <c r="E292" s="2"/>
    </row>
    <row r="293" spans="5:5" ht="22">
      <c r="E293" s="2"/>
    </row>
    <row r="294" spans="5:5" ht="22">
      <c r="E294" s="2"/>
    </row>
    <row r="295" spans="5:5" ht="22">
      <c r="E295" s="2"/>
    </row>
    <row r="296" spans="5:5" ht="22">
      <c r="E296" s="2"/>
    </row>
    <row r="297" spans="5:5" ht="22">
      <c r="E297" s="2"/>
    </row>
    <row r="298" spans="5:5" ht="22">
      <c r="E298" s="2"/>
    </row>
    <row r="299" spans="5:5" ht="22">
      <c r="E299" s="2"/>
    </row>
    <row r="300" spans="5:5" ht="22">
      <c r="E300" s="2"/>
    </row>
    <row r="301" spans="5:5" ht="22">
      <c r="E301" s="2"/>
    </row>
    <row r="302" spans="5:5" ht="22">
      <c r="E302" s="2"/>
    </row>
    <row r="303" spans="5:5" ht="22">
      <c r="E303" s="2"/>
    </row>
    <row r="304" spans="5:5" ht="22">
      <c r="E304" s="2"/>
    </row>
    <row r="305" spans="5:5" ht="22">
      <c r="E305" s="2"/>
    </row>
    <row r="306" spans="5:5" ht="22">
      <c r="E306" s="2"/>
    </row>
    <row r="307" spans="5:5" ht="22">
      <c r="E307" s="2"/>
    </row>
    <row r="308" spans="5:5" ht="22">
      <c r="E308" s="2"/>
    </row>
    <row r="309" spans="5:5" ht="22">
      <c r="E309" s="2"/>
    </row>
    <row r="310" spans="5:5" ht="22">
      <c r="E310" s="2"/>
    </row>
    <row r="311" spans="5:5" ht="22">
      <c r="E311" s="2"/>
    </row>
    <row r="312" spans="5:5" ht="22">
      <c r="E312" s="2"/>
    </row>
    <row r="313" spans="5:5" ht="22">
      <c r="E313" s="2"/>
    </row>
    <row r="314" spans="5:5" ht="22">
      <c r="E314" s="2"/>
    </row>
    <row r="315" spans="5:5" ht="22">
      <c r="E315" s="2"/>
    </row>
    <row r="316" spans="5:5" ht="22">
      <c r="E316" s="2"/>
    </row>
    <row r="317" spans="5:5" ht="22">
      <c r="E317" s="2"/>
    </row>
    <row r="318" spans="5:5" ht="22">
      <c r="E318" s="2"/>
    </row>
    <row r="319" spans="5:5" ht="22">
      <c r="E319" s="2"/>
    </row>
    <row r="320" spans="5:5" ht="22">
      <c r="E320" s="2"/>
    </row>
    <row r="321" spans="5:5" ht="22">
      <c r="E321" s="2"/>
    </row>
    <row r="322" spans="5:5" ht="22">
      <c r="E322" s="2"/>
    </row>
    <row r="323" spans="5:5" ht="22">
      <c r="E323" s="2"/>
    </row>
    <row r="324" spans="5:5" ht="22">
      <c r="E324" s="2"/>
    </row>
    <row r="325" spans="5:5" ht="22">
      <c r="E325" s="2"/>
    </row>
    <row r="326" spans="5:5" ht="22">
      <c r="E326" s="2"/>
    </row>
    <row r="327" spans="5:5" ht="22">
      <c r="E327" s="2"/>
    </row>
    <row r="328" spans="5:5" ht="22">
      <c r="E328" s="2"/>
    </row>
    <row r="329" spans="5:5" ht="22">
      <c r="E329" s="2"/>
    </row>
    <row r="330" spans="5:5" ht="22">
      <c r="E330" s="2"/>
    </row>
    <row r="331" spans="5:5" ht="22">
      <c r="E331" s="2"/>
    </row>
    <row r="332" spans="5:5" ht="22">
      <c r="E332" s="2"/>
    </row>
    <row r="333" spans="5:5" ht="22">
      <c r="E333" s="2"/>
    </row>
    <row r="334" spans="5:5" ht="22">
      <c r="E334" s="2"/>
    </row>
    <row r="335" spans="5:5" ht="22">
      <c r="E335" s="2"/>
    </row>
    <row r="336" spans="5:5" ht="22">
      <c r="E336" s="2"/>
    </row>
    <row r="337" spans="5:5" ht="22">
      <c r="E337" s="2"/>
    </row>
    <row r="338" spans="5:5" ht="22">
      <c r="E338" s="2"/>
    </row>
    <row r="339" spans="5:5" ht="22">
      <c r="E339" s="2"/>
    </row>
    <row r="340" spans="5:5" ht="22">
      <c r="E340" s="2"/>
    </row>
    <row r="341" spans="5:5" ht="22">
      <c r="E341" s="2"/>
    </row>
    <row r="342" spans="5:5" ht="22">
      <c r="E342" s="2"/>
    </row>
    <row r="343" spans="5:5" ht="22">
      <c r="E343" s="2"/>
    </row>
    <row r="344" spans="5:5" ht="22">
      <c r="E344" s="2"/>
    </row>
    <row r="345" spans="5:5" ht="22">
      <c r="E345" s="2"/>
    </row>
    <row r="346" spans="5:5" ht="22">
      <c r="E346" s="2"/>
    </row>
    <row r="347" spans="5:5" ht="22">
      <c r="E347" s="2"/>
    </row>
    <row r="348" spans="5:5" ht="22">
      <c r="E348" s="2"/>
    </row>
    <row r="349" spans="5:5" ht="22">
      <c r="E349" s="2"/>
    </row>
    <row r="350" spans="5:5" ht="22">
      <c r="E350" s="2"/>
    </row>
    <row r="351" spans="5:5" ht="22">
      <c r="E351" s="2"/>
    </row>
    <row r="352" spans="5:5" ht="22">
      <c r="E352" s="2"/>
    </row>
    <row r="353" spans="5:5" ht="22">
      <c r="E353" s="2"/>
    </row>
    <row r="354" spans="5:5" ht="22">
      <c r="E354" s="2"/>
    </row>
    <row r="355" spans="5:5" ht="22">
      <c r="E355" s="2"/>
    </row>
    <row r="356" spans="5:5" ht="22">
      <c r="E356" s="2"/>
    </row>
    <row r="357" spans="5:5" ht="22">
      <c r="E357" s="2"/>
    </row>
    <row r="358" spans="5:5" ht="22">
      <c r="E358" s="2"/>
    </row>
    <row r="359" spans="5:5" ht="22">
      <c r="E359" s="2"/>
    </row>
    <row r="360" spans="5:5" ht="22">
      <c r="E360" s="2"/>
    </row>
    <row r="361" spans="5:5" ht="22">
      <c r="E361" s="2"/>
    </row>
    <row r="362" spans="5:5" ht="22">
      <c r="E362" s="2"/>
    </row>
    <row r="363" spans="5:5" ht="22">
      <c r="E363" s="2"/>
    </row>
    <row r="364" spans="5:5" ht="22">
      <c r="E364" s="2"/>
    </row>
    <row r="365" spans="5:5" ht="22">
      <c r="E365" s="2"/>
    </row>
    <row r="366" spans="5:5" ht="22">
      <c r="E366" s="2"/>
    </row>
    <row r="367" spans="5:5" ht="22">
      <c r="E367" s="2"/>
    </row>
    <row r="368" spans="5:5" ht="22">
      <c r="E368" s="2"/>
    </row>
    <row r="369" spans="5:5" ht="22">
      <c r="E369" s="2"/>
    </row>
    <row r="370" spans="5:5" ht="22">
      <c r="E370" s="2"/>
    </row>
    <row r="371" spans="5:5" ht="22">
      <c r="E371" s="2"/>
    </row>
    <row r="372" spans="5:5" ht="22">
      <c r="E372" s="2"/>
    </row>
    <row r="373" spans="5:5" ht="22">
      <c r="E373" s="2"/>
    </row>
    <row r="374" spans="5:5" ht="22">
      <c r="E374" s="2"/>
    </row>
    <row r="375" spans="5:5" ht="22">
      <c r="E375" s="2"/>
    </row>
    <row r="376" spans="5:5" ht="22">
      <c r="E376" s="2"/>
    </row>
    <row r="377" spans="5:5" ht="22">
      <c r="E377" s="2"/>
    </row>
    <row r="378" spans="5:5" ht="22">
      <c r="E378" s="2"/>
    </row>
    <row r="379" spans="5:5" ht="22">
      <c r="E379" s="2"/>
    </row>
    <row r="380" spans="5:5" ht="22">
      <c r="E380" s="2"/>
    </row>
    <row r="381" spans="5:5" ht="22">
      <c r="E381" s="2"/>
    </row>
    <row r="382" spans="5:5" ht="22">
      <c r="E382" s="2"/>
    </row>
    <row r="383" spans="5:5" ht="22">
      <c r="E383" s="2"/>
    </row>
    <row r="384" spans="5:5" ht="22">
      <c r="E384" s="2"/>
    </row>
    <row r="385" spans="5:5" ht="22">
      <c r="E385" s="2"/>
    </row>
    <row r="386" spans="5:5" ht="22">
      <c r="E386" s="2"/>
    </row>
    <row r="387" spans="5:5" ht="22">
      <c r="E387" s="2"/>
    </row>
    <row r="388" spans="5:5" ht="22">
      <c r="E388" s="2"/>
    </row>
    <row r="389" spans="5:5" ht="22">
      <c r="E389" s="2"/>
    </row>
    <row r="390" spans="5:5" ht="22">
      <c r="E390" s="2"/>
    </row>
    <row r="391" spans="5:5" ht="22">
      <c r="E391" s="2"/>
    </row>
    <row r="392" spans="5:5" ht="22">
      <c r="E392" s="2"/>
    </row>
    <row r="393" spans="5:5" ht="22">
      <c r="E393" s="2"/>
    </row>
    <row r="394" spans="5:5" ht="22">
      <c r="E394" s="2"/>
    </row>
    <row r="395" spans="5:5" ht="22">
      <c r="E395" s="2"/>
    </row>
    <row r="396" spans="5:5" ht="22">
      <c r="E396" s="2"/>
    </row>
    <row r="397" spans="5:5" ht="22">
      <c r="E397" s="2"/>
    </row>
    <row r="398" spans="5:5" ht="22">
      <c r="E398" s="2"/>
    </row>
    <row r="399" spans="5:5" ht="22">
      <c r="E399" s="2"/>
    </row>
    <row r="400" spans="5:5" ht="22">
      <c r="E400" s="2"/>
    </row>
    <row r="401" spans="5:5" ht="22">
      <c r="E401" s="2"/>
    </row>
    <row r="402" spans="5:5" ht="22">
      <c r="E402" s="2"/>
    </row>
    <row r="403" spans="5:5" ht="22">
      <c r="E403" s="2"/>
    </row>
    <row r="404" spans="5:5" ht="22">
      <c r="E404" s="2"/>
    </row>
    <row r="405" spans="5:5" ht="22">
      <c r="E405" s="2"/>
    </row>
    <row r="406" spans="5:5" ht="22">
      <c r="E406" s="2"/>
    </row>
    <row r="407" spans="5:5" ht="22">
      <c r="E407" s="2"/>
    </row>
    <row r="408" spans="5:5" ht="22">
      <c r="E408" s="2"/>
    </row>
    <row r="409" spans="5:5" ht="22">
      <c r="E409" s="2"/>
    </row>
    <row r="410" spans="5:5" ht="22">
      <c r="E410" s="2"/>
    </row>
    <row r="411" spans="5:5" ht="22">
      <c r="E411" s="2"/>
    </row>
    <row r="412" spans="5:5" ht="22">
      <c r="E412" s="2"/>
    </row>
    <row r="413" spans="5:5" ht="22">
      <c r="E413" s="2"/>
    </row>
    <row r="414" spans="5:5" ht="22">
      <c r="E414" s="2"/>
    </row>
    <row r="415" spans="5:5" ht="22">
      <c r="E415" s="2"/>
    </row>
    <row r="416" spans="5:5" ht="22">
      <c r="E416" s="2"/>
    </row>
    <row r="417" spans="5:5" ht="22">
      <c r="E417" s="2"/>
    </row>
    <row r="418" spans="5:5" ht="22">
      <c r="E418" s="2"/>
    </row>
    <row r="419" spans="5:5" ht="22">
      <c r="E419" s="2"/>
    </row>
    <row r="420" spans="5:5" ht="22">
      <c r="E420" s="2"/>
    </row>
    <row r="421" spans="5:5" ht="22">
      <c r="E421" s="2"/>
    </row>
    <row r="422" spans="5:5" ht="22">
      <c r="E422" s="2"/>
    </row>
    <row r="423" spans="5:5" ht="22">
      <c r="E423" s="2"/>
    </row>
    <row r="424" spans="5:5" ht="22">
      <c r="E424" s="2"/>
    </row>
    <row r="425" spans="5:5" ht="22">
      <c r="E425" s="2"/>
    </row>
    <row r="426" spans="5:5" ht="22">
      <c r="E426" s="2"/>
    </row>
    <row r="427" spans="5:5" ht="22">
      <c r="E427" s="2"/>
    </row>
    <row r="428" spans="5:5" ht="22">
      <c r="E428" s="2"/>
    </row>
    <row r="429" spans="5:5" ht="22">
      <c r="E429" s="2"/>
    </row>
    <row r="430" spans="5:5" ht="22">
      <c r="E430" s="2"/>
    </row>
    <row r="431" spans="5:5" ht="22">
      <c r="E431" s="2"/>
    </row>
    <row r="432" spans="5:5" ht="22">
      <c r="E432" s="2"/>
    </row>
    <row r="433" spans="5:5" ht="22">
      <c r="E433" s="2"/>
    </row>
    <row r="434" spans="5:5" ht="22">
      <c r="E434" s="2"/>
    </row>
    <row r="435" spans="5:5" ht="22">
      <c r="E435" s="2"/>
    </row>
    <row r="436" spans="5:5" ht="22">
      <c r="E436" s="2"/>
    </row>
    <row r="437" spans="5:5" ht="22">
      <c r="E437" s="2"/>
    </row>
    <row r="438" spans="5:5" ht="22">
      <c r="E438" s="2"/>
    </row>
    <row r="439" spans="5:5" ht="22">
      <c r="E439" s="2"/>
    </row>
    <row r="440" spans="5:5" ht="22">
      <c r="E440" s="2"/>
    </row>
    <row r="441" spans="5:5" ht="22">
      <c r="E441" s="2"/>
    </row>
    <row r="442" spans="5:5" ht="22">
      <c r="E442" s="2"/>
    </row>
    <row r="443" spans="5:5" ht="22">
      <c r="E443" s="2"/>
    </row>
    <row r="444" spans="5:5" ht="22">
      <c r="E444" s="2"/>
    </row>
    <row r="445" spans="5:5" ht="22">
      <c r="E445" s="2"/>
    </row>
    <row r="446" spans="5:5" ht="22">
      <c r="E446" s="2"/>
    </row>
    <row r="447" spans="5:5" ht="22">
      <c r="E447" s="2"/>
    </row>
    <row r="448" spans="5:5" ht="22">
      <c r="E448" s="2"/>
    </row>
    <row r="449" spans="5:5" ht="22">
      <c r="E449" s="2"/>
    </row>
    <row r="450" spans="5:5" ht="22">
      <c r="E450" s="2"/>
    </row>
    <row r="451" spans="5:5" ht="22">
      <c r="E451" s="2"/>
    </row>
    <row r="452" spans="5:5" ht="22">
      <c r="E452" s="2"/>
    </row>
    <row r="453" spans="5:5" ht="22">
      <c r="E453" s="2"/>
    </row>
    <row r="454" spans="5:5" ht="22">
      <c r="E454" s="2"/>
    </row>
    <row r="455" spans="5:5" ht="22">
      <c r="E455" s="2"/>
    </row>
    <row r="456" spans="5:5" ht="22">
      <c r="E456" s="2"/>
    </row>
    <row r="457" spans="5:5" ht="22">
      <c r="E457" s="2"/>
    </row>
    <row r="458" spans="5:5" ht="22">
      <c r="E458" s="2"/>
    </row>
    <row r="459" spans="5:5" ht="22">
      <c r="E459" s="2"/>
    </row>
    <row r="460" spans="5:5" ht="22">
      <c r="E460" s="2"/>
    </row>
    <row r="461" spans="5:5" ht="22">
      <c r="E461" s="2"/>
    </row>
    <row r="462" spans="5:5" ht="22">
      <c r="E462" s="2"/>
    </row>
    <row r="463" spans="5:5" ht="22">
      <c r="E463" s="2"/>
    </row>
    <row r="464" spans="5:5" ht="22">
      <c r="E464" s="2"/>
    </row>
    <row r="465" spans="5:5" ht="22">
      <c r="E465" s="2"/>
    </row>
    <row r="466" spans="5:5" ht="22">
      <c r="E466" s="2"/>
    </row>
    <row r="467" spans="5:5" ht="22">
      <c r="E467" s="2"/>
    </row>
    <row r="468" spans="5:5" ht="22">
      <c r="E468" s="2"/>
    </row>
    <row r="469" spans="5:5" ht="22">
      <c r="E469" s="2"/>
    </row>
    <row r="470" spans="5:5" ht="22">
      <c r="E470" s="2"/>
    </row>
    <row r="471" spans="5:5" ht="22">
      <c r="E471" s="2"/>
    </row>
    <row r="472" spans="5:5" ht="22">
      <c r="E472" s="2"/>
    </row>
    <row r="473" spans="5:5" ht="22">
      <c r="E473" s="2"/>
    </row>
    <row r="474" spans="5:5" ht="22">
      <c r="E474" s="2"/>
    </row>
    <row r="475" spans="5:5" ht="22">
      <c r="E475" s="2"/>
    </row>
    <row r="476" spans="5:5" ht="22">
      <c r="E476" s="2"/>
    </row>
    <row r="477" spans="5:5" ht="22">
      <c r="E477" s="2"/>
    </row>
    <row r="478" spans="5:5" ht="22">
      <c r="E478" s="2"/>
    </row>
    <row r="479" spans="5:5" ht="22">
      <c r="E479" s="2"/>
    </row>
    <row r="480" spans="5:5" ht="22">
      <c r="E480" s="2"/>
    </row>
    <row r="481" spans="5:5" ht="22">
      <c r="E481" s="2"/>
    </row>
    <row r="482" spans="5:5" ht="22">
      <c r="E482" s="2"/>
    </row>
    <row r="483" spans="5:5" ht="22">
      <c r="E483" s="2"/>
    </row>
    <row r="484" spans="5:5" ht="22">
      <c r="E484" s="2"/>
    </row>
    <row r="485" spans="5:5" ht="22">
      <c r="E485" s="2"/>
    </row>
    <row r="486" spans="5:5" ht="22">
      <c r="E486" s="2"/>
    </row>
    <row r="487" spans="5:5" ht="22">
      <c r="E487" s="2"/>
    </row>
    <row r="488" spans="5:5" ht="22">
      <c r="E488" s="2"/>
    </row>
    <row r="489" spans="5:5" ht="22">
      <c r="E489" s="2"/>
    </row>
    <row r="490" spans="5:5" ht="22">
      <c r="E490" s="2"/>
    </row>
    <row r="491" spans="5:5" ht="22">
      <c r="E491" s="2"/>
    </row>
    <row r="492" spans="5:5" ht="22">
      <c r="E492" s="2"/>
    </row>
    <row r="493" spans="5:5" ht="22">
      <c r="E493" s="2"/>
    </row>
    <row r="494" spans="5:5" ht="22">
      <c r="E494" s="2"/>
    </row>
    <row r="495" spans="5:5" ht="22">
      <c r="E495" s="2"/>
    </row>
    <row r="496" spans="5:5" ht="22">
      <c r="E496" s="2"/>
    </row>
    <row r="497" spans="5:5" ht="22">
      <c r="E497" s="2"/>
    </row>
    <row r="498" spans="5:5" ht="22">
      <c r="E498" s="2"/>
    </row>
    <row r="499" spans="5:5" ht="22">
      <c r="E499" s="2"/>
    </row>
    <row r="500" spans="5:5" ht="22">
      <c r="E500" s="2"/>
    </row>
    <row r="501" spans="5:5" ht="22">
      <c r="E501" s="2"/>
    </row>
    <row r="502" spans="5:5" ht="22">
      <c r="E502" s="2"/>
    </row>
    <row r="503" spans="5:5" ht="22">
      <c r="E503" s="2"/>
    </row>
    <row r="504" spans="5:5" ht="22">
      <c r="E504" s="2"/>
    </row>
    <row r="505" spans="5:5" ht="22">
      <c r="E505" s="2"/>
    </row>
    <row r="506" spans="5:5" ht="22">
      <c r="E506" s="2"/>
    </row>
    <row r="507" spans="5:5" ht="22">
      <c r="E507" s="2"/>
    </row>
    <row r="508" spans="5:5" ht="22">
      <c r="E508" s="2"/>
    </row>
    <row r="509" spans="5:5" ht="22">
      <c r="E509" s="2"/>
    </row>
    <row r="510" spans="5:5" ht="22">
      <c r="E510" s="2"/>
    </row>
    <row r="511" spans="5:5" ht="22">
      <c r="E511" s="2"/>
    </row>
    <row r="512" spans="5:5" ht="22">
      <c r="E512" s="2"/>
    </row>
    <row r="513" spans="5:5" ht="22">
      <c r="E513" s="2"/>
    </row>
    <row r="514" spans="5:5" ht="22">
      <c r="E514" s="2"/>
    </row>
    <row r="515" spans="5:5" ht="22">
      <c r="E515" s="2"/>
    </row>
    <row r="516" spans="5:5" ht="22">
      <c r="E516" s="2"/>
    </row>
    <row r="517" spans="5:5" ht="22">
      <c r="E517" s="2"/>
    </row>
    <row r="518" spans="5:5" ht="22">
      <c r="E518" s="2"/>
    </row>
    <row r="519" spans="5:5" ht="22">
      <c r="E519" s="2"/>
    </row>
    <row r="520" spans="5:5" ht="22">
      <c r="E520" s="2"/>
    </row>
    <row r="521" spans="5:5" ht="22">
      <c r="E521" s="2"/>
    </row>
    <row r="522" spans="5:5" ht="22">
      <c r="E522" s="2"/>
    </row>
    <row r="523" spans="5:5" ht="22">
      <c r="E523" s="2"/>
    </row>
    <row r="524" spans="5:5" ht="22">
      <c r="E524" s="2"/>
    </row>
    <row r="525" spans="5:5" ht="22">
      <c r="E525" s="2"/>
    </row>
    <row r="526" spans="5:5" ht="22">
      <c r="E526" s="2"/>
    </row>
    <row r="527" spans="5:5" ht="22">
      <c r="E527" s="2"/>
    </row>
    <row r="528" spans="5:5" ht="22">
      <c r="E528" s="2"/>
    </row>
    <row r="529" spans="5:5" ht="22">
      <c r="E529" s="2"/>
    </row>
    <row r="530" spans="5:5" ht="22">
      <c r="E530" s="2"/>
    </row>
    <row r="531" spans="5:5" ht="22">
      <c r="E531" s="2"/>
    </row>
    <row r="532" spans="5:5" ht="22">
      <c r="E532" s="2"/>
    </row>
    <row r="533" spans="5:5" ht="22">
      <c r="E533" s="2"/>
    </row>
    <row r="534" spans="5:5" ht="22">
      <c r="E534" s="2"/>
    </row>
    <row r="535" spans="5:5" ht="22">
      <c r="E535" s="2"/>
    </row>
    <row r="536" spans="5:5" ht="22">
      <c r="E536" s="2"/>
    </row>
    <row r="537" spans="5:5" ht="22">
      <c r="E537" s="2"/>
    </row>
    <row r="538" spans="5:5" ht="22">
      <c r="E538" s="2"/>
    </row>
    <row r="539" spans="5:5" ht="22">
      <c r="E539" s="2"/>
    </row>
    <row r="540" spans="5:5" ht="22">
      <c r="E540" s="2"/>
    </row>
    <row r="541" spans="5:5" ht="22">
      <c r="E541" s="2"/>
    </row>
    <row r="542" spans="5:5" ht="22">
      <c r="E542" s="2"/>
    </row>
    <row r="543" spans="5:5" ht="22">
      <c r="E543" s="2"/>
    </row>
    <row r="544" spans="5:5" ht="22">
      <c r="E544" s="2"/>
    </row>
    <row r="545" spans="5:5" ht="22">
      <c r="E545" s="2"/>
    </row>
    <row r="546" spans="5:5" ht="22">
      <c r="E546" s="2"/>
    </row>
    <row r="547" spans="5:5" ht="22">
      <c r="E547" s="2"/>
    </row>
    <row r="548" spans="5:5" ht="22">
      <c r="E548" s="2"/>
    </row>
    <row r="549" spans="5:5" ht="22">
      <c r="E549" s="2"/>
    </row>
    <row r="550" spans="5:5" ht="22">
      <c r="E550" s="2"/>
    </row>
    <row r="551" spans="5:5" ht="22">
      <c r="E551" s="2"/>
    </row>
    <row r="552" spans="5:5" ht="22">
      <c r="E552" s="2"/>
    </row>
    <row r="553" spans="5:5" ht="22">
      <c r="E553" s="2"/>
    </row>
    <row r="554" spans="5:5" ht="22">
      <c r="E554" s="2"/>
    </row>
    <row r="555" spans="5:5" ht="22">
      <c r="E555" s="2"/>
    </row>
    <row r="556" spans="5:5" ht="22">
      <c r="E556" s="2"/>
    </row>
    <row r="557" spans="5:5" ht="22">
      <c r="E557" s="2"/>
    </row>
    <row r="558" spans="5:5" ht="22">
      <c r="E558" s="2"/>
    </row>
    <row r="559" spans="5:5" ht="22">
      <c r="E559" s="2"/>
    </row>
    <row r="560" spans="5:5" ht="22">
      <c r="E560" s="2"/>
    </row>
    <row r="561" spans="5:5" ht="22">
      <c r="E561" s="2"/>
    </row>
    <row r="562" spans="5:5" ht="22">
      <c r="E562" s="2"/>
    </row>
    <row r="563" spans="5:5" ht="22">
      <c r="E563" s="2"/>
    </row>
    <row r="564" spans="5:5" ht="22">
      <c r="E564" s="2"/>
    </row>
    <row r="565" spans="5:5" ht="22">
      <c r="E565" s="2"/>
    </row>
    <row r="566" spans="5:5" ht="22">
      <c r="E566" s="2"/>
    </row>
    <row r="567" spans="5:5" ht="22">
      <c r="E567" s="2"/>
    </row>
    <row r="568" spans="5:5" ht="22">
      <c r="E568" s="2"/>
    </row>
    <row r="569" spans="5:5" ht="22">
      <c r="E569" s="2"/>
    </row>
    <row r="570" spans="5:5" ht="22">
      <c r="E570" s="2"/>
    </row>
    <row r="571" spans="5:5" ht="22">
      <c r="E571" s="2"/>
    </row>
    <row r="572" spans="5:5" ht="22">
      <c r="E572" s="2"/>
    </row>
    <row r="573" spans="5:5" ht="22">
      <c r="E573" s="2"/>
    </row>
    <row r="574" spans="5:5" ht="22">
      <c r="E574" s="2"/>
    </row>
    <row r="575" spans="5:5" ht="22">
      <c r="E575" s="2"/>
    </row>
    <row r="576" spans="5:5" ht="22">
      <c r="E576" s="2"/>
    </row>
    <row r="577" spans="5:5" ht="22">
      <c r="E577" s="2"/>
    </row>
    <row r="578" spans="5:5" ht="22">
      <c r="E578" s="2"/>
    </row>
    <row r="579" spans="5:5" ht="22">
      <c r="E579" s="2"/>
    </row>
    <row r="580" spans="5:5" ht="22">
      <c r="E580" s="2"/>
    </row>
    <row r="581" spans="5:5" ht="22">
      <c r="E581" s="2"/>
    </row>
    <row r="582" spans="5:5" ht="22">
      <c r="E582" s="2"/>
    </row>
    <row r="583" spans="5:5" ht="22">
      <c r="E583" s="2"/>
    </row>
    <row r="584" spans="5:5" ht="22">
      <c r="E584" s="2"/>
    </row>
    <row r="585" spans="5:5" ht="22">
      <c r="E585" s="2"/>
    </row>
    <row r="586" spans="5:5" ht="22">
      <c r="E586" s="2"/>
    </row>
    <row r="587" spans="5:5" ht="22">
      <c r="E587" s="2"/>
    </row>
    <row r="588" spans="5:5" ht="22">
      <c r="E588" s="2"/>
    </row>
    <row r="589" spans="5:5" ht="22">
      <c r="E589" s="2"/>
    </row>
    <row r="590" spans="5:5" ht="22">
      <c r="E590" s="2"/>
    </row>
    <row r="591" spans="5:5" ht="22">
      <c r="E591" s="2"/>
    </row>
    <row r="592" spans="5:5" ht="22">
      <c r="E592" s="2"/>
    </row>
    <row r="593" spans="5:5" ht="22">
      <c r="E593" s="2"/>
    </row>
    <row r="594" spans="5:5" ht="22">
      <c r="E594" s="2"/>
    </row>
    <row r="595" spans="5:5" ht="22">
      <c r="E595" s="2"/>
    </row>
    <row r="596" spans="5:5" ht="22">
      <c r="E596" s="2"/>
    </row>
    <row r="597" spans="5:5" ht="22">
      <c r="E597" s="2"/>
    </row>
    <row r="598" spans="5:5" ht="22">
      <c r="E598" s="2"/>
    </row>
    <row r="599" spans="5:5" ht="22">
      <c r="E599" s="2"/>
    </row>
    <row r="600" spans="5:5" ht="22">
      <c r="E600" s="2"/>
    </row>
    <row r="601" spans="5:5" ht="22">
      <c r="E601" s="2"/>
    </row>
    <row r="602" spans="5:5" ht="22">
      <c r="E602" s="2"/>
    </row>
    <row r="603" spans="5:5" ht="22">
      <c r="E603" s="2"/>
    </row>
    <row r="604" spans="5:5" ht="22">
      <c r="E604" s="2"/>
    </row>
    <row r="605" spans="5:5" ht="22">
      <c r="E605" s="2"/>
    </row>
    <row r="606" spans="5:5" ht="22">
      <c r="E606" s="2"/>
    </row>
    <row r="607" spans="5:5" ht="22">
      <c r="E607" s="2"/>
    </row>
    <row r="608" spans="5:5" ht="22">
      <c r="E608" s="2"/>
    </row>
    <row r="609" spans="5:5" ht="22">
      <c r="E609" s="2"/>
    </row>
    <row r="610" spans="5:5" ht="22">
      <c r="E610" s="2"/>
    </row>
    <row r="611" spans="5:5" ht="22">
      <c r="E611" s="2"/>
    </row>
    <row r="612" spans="5:5" ht="22">
      <c r="E612" s="2"/>
    </row>
    <row r="613" spans="5:5" ht="22">
      <c r="E613" s="2"/>
    </row>
    <row r="614" spans="5:5" ht="22">
      <c r="E614" s="2"/>
    </row>
    <row r="615" spans="5:5" ht="22">
      <c r="E615" s="2"/>
    </row>
    <row r="616" spans="5:5" ht="22">
      <c r="E616" s="2"/>
    </row>
    <row r="617" spans="5:5" ht="22">
      <c r="E617" s="2"/>
    </row>
    <row r="618" spans="5:5" ht="22">
      <c r="E618" s="2"/>
    </row>
    <row r="619" spans="5:5" ht="22">
      <c r="E619" s="2"/>
    </row>
    <row r="620" spans="5:5" ht="22">
      <c r="E620" s="2"/>
    </row>
    <row r="621" spans="5:5" ht="22">
      <c r="E621" s="2"/>
    </row>
    <row r="622" spans="5:5" ht="22">
      <c r="E622" s="2"/>
    </row>
    <row r="623" spans="5:5" ht="22">
      <c r="E623" s="2"/>
    </row>
    <row r="624" spans="5:5" ht="22">
      <c r="E624" s="2"/>
    </row>
    <row r="625" spans="5:5" ht="22">
      <c r="E625" s="2"/>
    </row>
    <row r="626" spans="5:5" ht="22">
      <c r="E626" s="2"/>
    </row>
    <row r="627" spans="5:5" ht="22">
      <c r="E627" s="2"/>
    </row>
    <row r="628" spans="5:5" ht="22">
      <c r="E628" s="2"/>
    </row>
    <row r="629" spans="5:5" ht="22">
      <c r="E629" s="2"/>
    </row>
    <row r="630" spans="5:5" ht="22">
      <c r="E630" s="2"/>
    </row>
    <row r="631" spans="5:5" ht="22">
      <c r="E631" s="2"/>
    </row>
    <row r="632" spans="5:5" ht="22">
      <c r="E632" s="2"/>
    </row>
    <row r="633" spans="5:5" ht="22">
      <c r="E633" s="2"/>
    </row>
    <row r="634" spans="5:5" ht="22">
      <c r="E634" s="2"/>
    </row>
    <row r="635" spans="5:5" ht="22">
      <c r="E635" s="2"/>
    </row>
    <row r="636" spans="5:5" ht="22">
      <c r="E636" s="2"/>
    </row>
    <row r="637" spans="5:5" ht="22">
      <c r="E637" s="2"/>
    </row>
    <row r="638" spans="5:5" ht="22">
      <c r="E638" s="2"/>
    </row>
    <row r="639" spans="5:5" ht="22">
      <c r="E639" s="2"/>
    </row>
    <row r="640" spans="5:5" ht="22">
      <c r="E640" s="2"/>
    </row>
    <row r="641" spans="5:5" ht="22">
      <c r="E641" s="2"/>
    </row>
    <row r="642" spans="5:5" ht="22">
      <c r="E642" s="2"/>
    </row>
    <row r="643" spans="5:5" ht="22">
      <c r="E643" s="2"/>
    </row>
    <row r="644" spans="5:5" ht="22">
      <c r="E644" s="2"/>
    </row>
    <row r="645" spans="5:5" ht="22">
      <c r="E645" s="2"/>
    </row>
    <row r="646" spans="5:5" ht="22">
      <c r="E646" s="2"/>
    </row>
    <row r="647" spans="5:5" ht="22">
      <c r="E647" s="2"/>
    </row>
    <row r="648" spans="5:5" ht="22">
      <c r="E648" s="2"/>
    </row>
    <row r="649" spans="5:5" ht="22">
      <c r="E649" s="2"/>
    </row>
    <row r="650" spans="5:5" ht="22">
      <c r="E650" s="2"/>
    </row>
    <row r="651" spans="5:5" ht="22">
      <c r="E651" s="2"/>
    </row>
    <row r="652" spans="5:5" ht="22">
      <c r="E652" s="2"/>
    </row>
    <row r="653" spans="5:5" ht="22">
      <c r="E653" s="2"/>
    </row>
    <row r="654" spans="5:5" ht="22">
      <c r="E654" s="2"/>
    </row>
    <row r="655" spans="5:5" ht="22">
      <c r="E655" s="2"/>
    </row>
    <row r="656" spans="5:5" ht="22">
      <c r="E656" s="2"/>
    </row>
    <row r="657" spans="5:5" ht="22">
      <c r="E657" s="2"/>
    </row>
    <row r="658" spans="5:5" ht="22">
      <c r="E658" s="2"/>
    </row>
    <row r="659" spans="5:5" ht="22">
      <c r="E659" s="2"/>
    </row>
    <row r="660" spans="5:5" ht="22">
      <c r="E660" s="2"/>
    </row>
    <row r="661" spans="5:5" ht="22">
      <c r="E661" s="2"/>
    </row>
    <row r="662" spans="5:5" ht="22">
      <c r="E662" s="2"/>
    </row>
    <row r="663" spans="5:5" ht="22">
      <c r="E663" s="2"/>
    </row>
    <row r="664" spans="5:5" ht="22">
      <c r="E664" s="2"/>
    </row>
    <row r="665" spans="5:5" ht="22">
      <c r="E665" s="2"/>
    </row>
    <row r="666" spans="5:5" ht="22">
      <c r="E666" s="2"/>
    </row>
    <row r="667" spans="5:5" ht="22">
      <c r="E667" s="2"/>
    </row>
    <row r="668" spans="5:5" ht="22">
      <c r="E668" s="2"/>
    </row>
    <row r="669" spans="5:5" ht="22">
      <c r="E669" s="2"/>
    </row>
    <row r="670" spans="5:5" ht="22">
      <c r="E670" s="2"/>
    </row>
    <row r="671" spans="5:5" ht="22">
      <c r="E671" s="2"/>
    </row>
    <row r="672" spans="5:5" ht="22">
      <c r="E672" s="2"/>
    </row>
    <row r="673" spans="5:5" ht="22">
      <c r="E673" s="2"/>
    </row>
    <row r="674" spans="5:5" ht="22">
      <c r="E674" s="2"/>
    </row>
    <row r="675" spans="5:5" ht="22">
      <c r="E675" s="2"/>
    </row>
    <row r="676" spans="5:5" ht="22">
      <c r="E676" s="2"/>
    </row>
    <row r="677" spans="5:5" ht="22">
      <c r="E677" s="2"/>
    </row>
    <row r="678" spans="5:5" ht="22">
      <c r="E678" s="2"/>
    </row>
    <row r="679" spans="5:5" ht="22">
      <c r="E679" s="2"/>
    </row>
    <row r="680" spans="5:5" ht="22">
      <c r="E680" s="2"/>
    </row>
    <row r="681" spans="5:5" ht="22">
      <c r="E681" s="2"/>
    </row>
    <row r="682" spans="5:5" ht="22">
      <c r="E682" s="2"/>
    </row>
    <row r="683" spans="5:5" ht="22">
      <c r="E683" s="2"/>
    </row>
    <row r="684" spans="5:5" ht="22">
      <c r="E684" s="2"/>
    </row>
    <row r="685" spans="5:5" ht="22">
      <c r="E685" s="2"/>
    </row>
    <row r="686" spans="5:5" ht="22">
      <c r="E686" s="2"/>
    </row>
    <row r="687" spans="5:5" ht="22">
      <c r="E687" s="2"/>
    </row>
    <row r="688" spans="5:5" ht="22">
      <c r="E688" s="2"/>
    </row>
    <row r="689" spans="5:5" ht="22">
      <c r="E689" s="2"/>
    </row>
    <row r="690" spans="5:5" ht="22">
      <c r="E690" s="2"/>
    </row>
    <row r="691" spans="5:5" ht="22">
      <c r="E691" s="2"/>
    </row>
    <row r="692" spans="5:5" ht="22">
      <c r="E692" s="2"/>
    </row>
    <row r="693" spans="5:5" ht="22">
      <c r="E693" s="2"/>
    </row>
    <row r="694" spans="5:5" ht="22">
      <c r="E694" s="2"/>
    </row>
    <row r="695" spans="5:5" ht="22">
      <c r="E695" s="2"/>
    </row>
    <row r="696" spans="5:5" ht="22">
      <c r="E696" s="2"/>
    </row>
    <row r="697" spans="5:5" ht="22">
      <c r="E697" s="2"/>
    </row>
    <row r="698" spans="5:5" ht="22">
      <c r="E698" s="2"/>
    </row>
    <row r="699" spans="5:5" ht="22">
      <c r="E699" s="2"/>
    </row>
    <row r="700" spans="5:5" ht="22">
      <c r="E700" s="2"/>
    </row>
    <row r="701" spans="5:5" ht="22">
      <c r="E701" s="2"/>
    </row>
    <row r="702" spans="5:5" ht="22">
      <c r="E702" s="2"/>
    </row>
    <row r="703" spans="5:5" ht="22">
      <c r="E703" s="2"/>
    </row>
    <row r="704" spans="5:5" ht="22">
      <c r="E704" s="2"/>
    </row>
    <row r="705" spans="5:5" ht="22">
      <c r="E705" s="2"/>
    </row>
    <row r="706" spans="5:5" ht="22">
      <c r="E706" s="2"/>
    </row>
    <row r="707" spans="5:5" ht="22">
      <c r="E707" s="2"/>
    </row>
    <row r="708" spans="5:5" ht="22">
      <c r="E708" s="2"/>
    </row>
    <row r="709" spans="5:5" ht="22">
      <c r="E709" s="2"/>
    </row>
    <row r="710" spans="5:5" ht="22">
      <c r="E710" s="2"/>
    </row>
    <row r="711" spans="5:5" ht="22">
      <c r="E711" s="2"/>
    </row>
    <row r="712" spans="5:5" ht="22">
      <c r="E712" s="2"/>
    </row>
    <row r="713" spans="5:5" ht="22">
      <c r="E713" s="2"/>
    </row>
    <row r="714" spans="5:5" ht="22">
      <c r="E714" s="2"/>
    </row>
    <row r="715" spans="5:5" ht="22">
      <c r="E715" s="2"/>
    </row>
    <row r="716" spans="5:5" ht="22">
      <c r="E716" s="2"/>
    </row>
    <row r="717" spans="5:5" ht="22">
      <c r="E717" s="2"/>
    </row>
    <row r="718" spans="5:5" ht="22">
      <c r="E718" s="2"/>
    </row>
    <row r="719" spans="5:5" ht="22">
      <c r="E719" s="2"/>
    </row>
    <row r="720" spans="5:5" ht="22">
      <c r="E720" s="2"/>
    </row>
    <row r="721" spans="5:5" ht="22">
      <c r="E721" s="2"/>
    </row>
    <row r="722" spans="5:5" ht="22">
      <c r="E722" s="2"/>
    </row>
    <row r="723" spans="5:5" ht="22">
      <c r="E723" s="2"/>
    </row>
    <row r="724" spans="5:5" ht="22">
      <c r="E724" s="2"/>
    </row>
    <row r="725" spans="5:5" ht="22">
      <c r="E725" s="2"/>
    </row>
    <row r="726" spans="5:5" ht="22">
      <c r="E726" s="2"/>
    </row>
    <row r="727" spans="5:5" ht="22">
      <c r="E727" s="2"/>
    </row>
    <row r="728" spans="5:5" ht="22">
      <c r="E728" s="2"/>
    </row>
    <row r="729" spans="5:5" ht="22">
      <c r="E729" s="2"/>
    </row>
    <row r="730" spans="5:5" ht="22">
      <c r="E730" s="2"/>
    </row>
    <row r="731" spans="5:5" ht="22">
      <c r="E731" s="2"/>
    </row>
    <row r="732" spans="5:5" ht="22">
      <c r="E732" s="2"/>
    </row>
    <row r="733" spans="5:5" ht="22">
      <c r="E733" s="2"/>
    </row>
    <row r="734" spans="5:5" ht="22">
      <c r="E734" s="2"/>
    </row>
    <row r="735" spans="5:5" ht="22">
      <c r="E735" s="2"/>
    </row>
    <row r="736" spans="5:5" ht="22">
      <c r="E736" s="2"/>
    </row>
    <row r="737" spans="5:5" ht="22">
      <c r="E737" s="2"/>
    </row>
    <row r="738" spans="5:5" ht="22">
      <c r="E738" s="2"/>
    </row>
    <row r="739" spans="5:5" ht="22">
      <c r="E739" s="2"/>
    </row>
    <row r="740" spans="5:5" ht="22">
      <c r="E740" s="2"/>
    </row>
    <row r="741" spans="5:5" ht="22">
      <c r="E741" s="2"/>
    </row>
    <row r="742" spans="5:5" ht="22">
      <c r="E742" s="2"/>
    </row>
    <row r="743" spans="5:5" ht="22">
      <c r="E743" s="2"/>
    </row>
    <row r="744" spans="5:5" ht="22">
      <c r="E744" s="2"/>
    </row>
    <row r="745" spans="5:5" ht="22">
      <c r="E745" s="2"/>
    </row>
    <row r="746" spans="5:5" ht="22">
      <c r="E746" s="2"/>
    </row>
    <row r="747" spans="5:5" ht="22">
      <c r="E747" s="2"/>
    </row>
    <row r="748" spans="5:5" ht="22">
      <c r="E748" s="2"/>
    </row>
    <row r="749" spans="5:5" ht="22">
      <c r="E749" s="2"/>
    </row>
    <row r="750" spans="5:5" ht="22">
      <c r="E750" s="2"/>
    </row>
    <row r="751" spans="5:5" ht="22">
      <c r="E751" s="2"/>
    </row>
    <row r="752" spans="5:5" ht="22">
      <c r="E752" s="2"/>
    </row>
    <row r="753" spans="5:5" ht="22">
      <c r="E753" s="2"/>
    </row>
    <row r="754" spans="5:5" ht="22">
      <c r="E754" s="2"/>
    </row>
    <row r="755" spans="5:5" ht="22">
      <c r="E755" s="2"/>
    </row>
    <row r="756" spans="5:5" ht="22">
      <c r="E756" s="2"/>
    </row>
    <row r="757" spans="5:5" ht="22">
      <c r="E757" s="2"/>
    </row>
    <row r="758" spans="5:5" ht="22">
      <c r="E758" s="2"/>
    </row>
    <row r="759" spans="5:5" ht="22">
      <c r="E759" s="2"/>
    </row>
    <row r="760" spans="5:5" ht="22">
      <c r="E760" s="2"/>
    </row>
    <row r="761" spans="5:5" ht="22">
      <c r="E761" s="2"/>
    </row>
    <row r="762" spans="5:5" ht="22">
      <c r="E762" s="2"/>
    </row>
    <row r="763" spans="5:5" ht="22">
      <c r="E763" s="2"/>
    </row>
    <row r="764" spans="5:5" ht="22">
      <c r="E764" s="2"/>
    </row>
    <row r="765" spans="5:5" ht="22">
      <c r="E765" s="2"/>
    </row>
    <row r="766" spans="5:5" ht="22">
      <c r="E766" s="2"/>
    </row>
    <row r="767" spans="5:5" ht="22">
      <c r="E767" s="2"/>
    </row>
    <row r="768" spans="5:5" ht="22">
      <c r="E768" s="2"/>
    </row>
    <row r="769" spans="5:5" ht="22">
      <c r="E769" s="2"/>
    </row>
    <row r="770" spans="5:5" ht="22">
      <c r="E770" s="2"/>
    </row>
    <row r="771" spans="5:5" ht="22">
      <c r="E771" s="2"/>
    </row>
    <row r="772" spans="5:5" ht="22">
      <c r="E772" s="2"/>
    </row>
    <row r="773" spans="5:5" ht="22">
      <c r="E773" s="2"/>
    </row>
    <row r="774" spans="5:5" ht="22">
      <c r="E774" s="2"/>
    </row>
    <row r="775" spans="5:5" ht="22">
      <c r="E775" s="2"/>
    </row>
    <row r="776" spans="5:5" ht="22">
      <c r="E776" s="2"/>
    </row>
    <row r="777" spans="5:5" ht="22">
      <c r="E777" s="2"/>
    </row>
    <row r="778" spans="5:5" ht="22">
      <c r="E778" s="2"/>
    </row>
    <row r="779" spans="5:5" ht="22">
      <c r="E779" s="2"/>
    </row>
    <row r="780" spans="5:5" ht="22">
      <c r="E780" s="2"/>
    </row>
    <row r="781" spans="5:5" ht="22">
      <c r="E781" s="2"/>
    </row>
    <row r="782" spans="5:5" ht="22">
      <c r="E782" s="2"/>
    </row>
    <row r="783" spans="5:5" ht="22">
      <c r="E783" s="2"/>
    </row>
    <row r="784" spans="5:5" ht="22">
      <c r="E784" s="2"/>
    </row>
    <row r="785" spans="5:5" ht="22">
      <c r="E785" s="2"/>
    </row>
    <row r="786" spans="5:5" ht="22">
      <c r="E786" s="2"/>
    </row>
    <row r="787" spans="5:5" ht="22">
      <c r="E787" s="2"/>
    </row>
    <row r="788" spans="5:5" ht="22">
      <c r="E788" s="2"/>
    </row>
    <row r="789" spans="5:5" ht="22">
      <c r="E789" s="2"/>
    </row>
    <row r="790" spans="5:5" ht="22">
      <c r="E790" s="2"/>
    </row>
    <row r="791" spans="5:5" ht="22">
      <c r="E791" s="2"/>
    </row>
    <row r="792" spans="5:5" ht="22">
      <c r="E792" s="2"/>
    </row>
    <row r="793" spans="5:5" ht="22">
      <c r="E793" s="2"/>
    </row>
    <row r="794" spans="5:5" ht="22">
      <c r="E794" s="2"/>
    </row>
    <row r="795" spans="5:5" ht="22">
      <c r="E795" s="2"/>
    </row>
    <row r="796" spans="5:5" ht="22">
      <c r="E796" s="2"/>
    </row>
    <row r="797" spans="5:5" ht="22">
      <c r="E797" s="2"/>
    </row>
    <row r="798" spans="5:5" ht="22">
      <c r="E798" s="2"/>
    </row>
    <row r="799" spans="5:5" ht="22">
      <c r="E799" s="2"/>
    </row>
    <row r="800" spans="5:5" ht="22">
      <c r="E800" s="2"/>
    </row>
    <row r="801" spans="5:5" ht="22">
      <c r="E801" s="2"/>
    </row>
    <row r="802" spans="5:5" ht="22">
      <c r="E802" s="2"/>
    </row>
    <row r="803" spans="5:5" ht="22">
      <c r="E803" s="2"/>
    </row>
    <row r="804" spans="5:5" ht="22">
      <c r="E804" s="2"/>
    </row>
    <row r="805" spans="5:5" ht="22">
      <c r="E805" s="2"/>
    </row>
    <row r="806" spans="5:5" ht="22">
      <c r="E806" s="2"/>
    </row>
    <row r="807" spans="5:5" ht="22">
      <c r="E807" s="2"/>
    </row>
    <row r="808" spans="5:5" ht="22">
      <c r="E808" s="2"/>
    </row>
    <row r="809" spans="5:5" ht="22">
      <c r="E809" s="2"/>
    </row>
    <row r="810" spans="5:5" ht="22">
      <c r="E810" s="2"/>
    </row>
    <row r="811" spans="5:5" ht="22">
      <c r="E811" s="2"/>
    </row>
    <row r="812" spans="5:5" ht="22">
      <c r="E812" s="2"/>
    </row>
    <row r="813" spans="5:5" ht="22">
      <c r="E813" s="2"/>
    </row>
    <row r="814" spans="5:5" ht="22">
      <c r="E814" s="2"/>
    </row>
    <row r="815" spans="5:5" ht="22">
      <c r="E815" s="2"/>
    </row>
    <row r="816" spans="5:5" ht="22">
      <c r="E816" s="2"/>
    </row>
    <row r="817" spans="5:5" ht="22">
      <c r="E817" s="2"/>
    </row>
    <row r="818" spans="5:5" ht="22">
      <c r="E818" s="2"/>
    </row>
    <row r="819" spans="5:5" ht="22">
      <c r="E819" s="2"/>
    </row>
    <row r="820" spans="5:5" ht="22">
      <c r="E820" s="2"/>
    </row>
    <row r="821" spans="5:5" ht="22">
      <c r="E821" s="2"/>
    </row>
    <row r="822" spans="5:5" ht="22">
      <c r="E822" s="2"/>
    </row>
    <row r="823" spans="5:5" ht="22">
      <c r="E823" s="2"/>
    </row>
    <row r="824" spans="5:5" ht="22">
      <c r="E824" s="2"/>
    </row>
    <row r="825" spans="5:5" ht="22">
      <c r="E825" s="2"/>
    </row>
    <row r="826" spans="5:5" ht="22">
      <c r="E826" s="2"/>
    </row>
    <row r="827" spans="5:5" ht="22">
      <c r="E827" s="2"/>
    </row>
    <row r="828" spans="5:5" ht="22">
      <c r="E828" s="2"/>
    </row>
    <row r="829" spans="5:5" ht="22">
      <c r="E829" s="2"/>
    </row>
    <row r="830" spans="5:5" ht="22">
      <c r="E830" s="2"/>
    </row>
    <row r="831" spans="5:5" ht="22">
      <c r="E831" s="2"/>
    </row>
    <row r="832" spans="5:5" ht="22">
      <c r="E832" s="2"/>
    </row>
    <row r="833" spans="5:5" ht="22">
      <c r="E833" s="2"/>
    </row>
    <row r="834" spans="5:5" ht="22">
      <c r="E834" s="2"/>
    </row>
    <row r="835" spans="5:5" ht="22">
      <c r="E835" s="2"/>
    </row>
    <row r="836" spans="5:5" ht="22">
      <c r="E836" s="2"/>
    </row>
    <row r="837" spans="5:5" ht="22">
      <c r="E837" s="2"/>
    </row>
    <row r="838" spans="5:5" ht="22">
      <c r="E838" s="2"/>
    </row>
    <row r="839" spans="5:5" ht="22">
      <c r="E839" s="2"/>
    </row>
    <row r="840" spans="5:5" ht="22">
      <c r="E840" s="2"/>
    </row>
    <row r="841" spans="5:5" ht="22">
      <c r="E841" s="2"/>
    </row>
    <row r="842" spans="5:5" ht="22">
      <c r="E842" s="2"/>
    </row>
    <row r="843" spans="5:5" ht="22">
      <c r="E843" s="2"/>
    </row>
    <row r="844" spans="5:5" ht="22">
      <c r="E844" s="2"/>
    </row>
    <row r="845" spans="5:5" ht="22">
      <c r="E845" s="2"/>
    </row>
    <row r="846" spans="5:5" ht="22">
      <c r="E846" s="2"/>
    </row>
    <row r="847" spans="5:5" ht="22">
      <c r="E847" s="2"/>
    </row>
    <row r="848" spans="5:5" ht="22">
      <c r="E848" s="2"/>
    </row>
    <row r="849" spans="5:5" ht="22">
      <c r="E849" s="2"/>
    </row>
    <row r="850" spans="5:5" ht="22">
      <c r="E850" s="2"/>
    </row>
    <row r="851" spans="5:5" ht="22">
      <c r="E851" s="2"/>
    </row>
    <row r="852" spans="5:5" ht="22">
      <c r="E852" s="2"/>
    </row>
    <row r="853" spans="5:5" ht="22">
      <c r="E853" s="2"/>
    </row>
    <row r="854" spans="5:5" ht="22">
      <c r="E854" s="2"/>
    </row>
    <row r="855" spans="5:5" ht="22">
      <c r="E855" s="2"/>
    </row>
    <row r="856" spans="5:5" ht="22">
      <c r="E856" s="2"/>
    </row>
    <row r="857" spans="5:5" ht="22">
      <c r="E857" s="2"/>
    </row>
    <row r="858" spans="5:5" ht="22">
      <c r="E858" s="2"/>
    </row>
    <row r="859" spans="5:5" ht="22">
      <c r="E859" s="2"/>
    </row>
    <row r="860" spans="5:5" ht="22">
      <c r="E860" s="2"/>
    </row>
    <row r="861" spans="5:5" ht="22">
      <c r="E861" s="2"/>
    </row>
    <row r="862" spans="5:5" ht="22">
      <c r="E862" s="2"/>
    </row>
    <row r="863" spans="5:5" ht="22">
      <c r="E863" s="2"/>
    </row>
    <row r="864" spans="5:5" ht="22">
      <c r="E864" s="2"/>
    </row>
    <row r="865" spans="5:5" ht="22">
      <c r="E865" s="2"/>
    </row>
    <row r="866" spans="5:5" ht="22">
      <c r="E866" s="2"/>
    </row>
    <row r="867" spans="5:5" ht="22">
      <c r="E867" s="2"/>
    </row>
    <row r="868" spans="5:5" ht="22">
      <c r="E868" s="2"/>
    </row>
    <row r="869" spans="5:5" ht="22">
      <c r="E869" s="2"/>
    </row>
    <row r="870" spans="5:5" ht="22">
      <c r="E870" s="2"/>
    </row>
    <row r="871" spans="5:5" ht="22">
      <c r="E871" s="2"/>
    </row>
    <row r="872" spans="5:5" ht="22">
      <c r="E872" s="2"/>
    </row>
    <row r="873" spans="5:5" ht="22">
      <c r="E873" s="2"/>
    </row>
    <row r="874" spans="5:5" ht="22">
      <c r="E874" s="2"/>
    </row>
    <row r="875" spans="5:5" ht="22">
      <c r="E875" s="2"/>
    </row>
    <row r="876" spans="5:5" ht="22">
      <c r="E876" s="2"/>
    </row>
    <row r="877" spans="5:5" ht="22">
      <c r="E877" s="2"/>
    </row>
    <row r="878" spans="5:5" ht="22">
      <c r="E878" s="2"/>
    </row>
    <row r="879" spans="5:5" ht="22">
      <c r="E879" s="2"/>
    </row>
    <row r="880" spans="5:5" ht="22">
      <c r="E880" s="2"/>
    </row>
    <row r="881" spans="5:5" ht="22">
      <c r="E881" s="2"/>
    </row>
    <row r="882" spans="5:5" ht="22">
      <c r="E882" s="2"/>
    </row>
    <row r="883" spans="5:5" ht="22">
      <c r="E883" s="2"/>
    </row>
    <row r="884" spans="5:5" ht="22">
      <c r="E884" s="2"/>
    </row>
    <row r="885" spans="5:5" ht="22">
      <c r="E885" s="2"/>
    </row>
    <row r="886" spans="5:5" ht="22">
      <c r="E886" s="2"/>
    </row>
    <row r="887" spans="5:5" ht="22">
      <c r="E887" s="2"/>
    </row>
    <row r="888" spans="5:5" ht="22">
      <c r="E888" s="2"/>
    </row>
    <row r="889" spans="5:5" ht="22">
      <c r="E889" s="2"/>
    </row>
    <row r="890" spans="5:5" ht="22">
      <c r="E890" s="2"/>
    </row>
    <row r="891" spans="5:5" ht="22">
      <c r="E891" s="2"/>
    </row>
    <row r="892" spans="5:5" ht="22">
      <c r="E892" s="2"/>
    </row>
    <row r="893" spans="5:5" ht="22">
      <c r="E893" s="2"/>
    </row>
    <row r="894" spans="5:5" ht="22">
      <c r="E894" s="2"/>
    </row>
    <row r="895" spans="5:5" ht="22">
      <c r="E895" s="2"/>
    </row>
    <row r="896" spans="5:5" ht="22">
      <c r="E896" s="2"/>
    </row>
    <row r="897" spans="5:5" ht="22">
      <c r="E897" s="2"/>
    </row>
    <row r="898" spans="5:5" ht="22">
      <c r="E898" s="2"/>
    </row>
    <row r="899" spans="5:5" ht="22">
      <c r="E899" s="2"/>
    </row>
    <row r="900" spans="5:5" ht="22">
      <c r="E900" s="2"/>
    </row>
    <row r="901" spans="5:5" ht="22">
      <c r="E901" s="2"/>
    </row>
    <row r="902" spans="5:5" ht="22">
      <c r="E902" s="2"/>
    </row>
    <row r="903" spans="5:5" ht="22">
      <c r="E903" s="2"/>
    </row>
    <row r="904" spans="5:5" ht="22">
      <c r="E904" s="2"/>
    </row>
    <row r="905" spans="5:5" ht="22">
      <c r="E905" s="2"/>
    </row>
    <row r="906" spans="5:5" ht="22">
      <c r="E906" s="2"/>
    </row>
    <row r="907" spans="5:5" ht="22">
      <c r="E907" s="2"/>
    </row>
    <row r="908" spans="5:5" ht="22">
      <c r="E908" s="2"/>
    </row>
    <row r="909" spans="5:5" ht="22">
      <c r="E909" s="2"/>
    </row>
    <row r="910" spans="5:5" ht="22">
      <c r="E910" s="2"/>
    </row>
    <row r="911" spans="5:5" ht="22">
      <c r="E911" s="2"/>
    </row>
    <row r="912" spans="5:5" ht="22">
      <c r="E912" s="2"/>
    </row>
    <row r="913" spans="5:5" ht="22">
      <c r="E913" s="2"/>
    </row>
    <row r="914" spans="5:5" ht="22">
      <c r="E914" s="2"/>
    </row>
    <row r="915" spans="5:5" ht="22">
      <c r="E915" s="2"/>
    </row>
    <row r="916" spans="5:5" ht="22">
      <c r="E916" s="2"/>
    </row>
    <row r="917" spans="5:5" ht="22">
      <c r="E917" s="2"/>
    </row>
    <row r="918" spans="5:5" ht="22">
      <c r="E918" s="2"/>
    </row>
    <row r="919" spans="5:5" ht="22">
      <c r="E919" s="2"/>
    </row>
    <row r="920" spans="5:5" ht="22">
      <c r="E920" s="2"/>
    </row>
    <row r="921" spans="5:5" ht="22">
      <c r="E921" s="2"/>
    </row>
    <row r="922" spans="5:5" ht="22">
      <c r="E922" s="2"/>
    </row>
    <row r="923" spans="5:5" ht="22">
      <c r="E923" s="2"/>
    </row>
    <row r="924" spans="5:5" ht="22">
      <c r="E924" s="2"/>
    </row>
    <row r="925" spans="5:5" ht="22">
      <c r="E925" s="2"/>
    </row>
    <row r="926" spans="5:5" ht="22">
      <c r="E926" s="2"/>
    </row>
    <row r="927" spans="5:5" ht="22">
      <c r="E927" s="2"/>
    </row>
    <row r="928" spans="5:5" ht="22">
      <c r="E928" s="2"/>
    </row>
    <row r="929" spans="5:5" ht="22">
      <c r="E929" s="2"/>
    </row>
    <row r="930" spans="5:5" ht="22">
      <c r="E930" s="2"/>
    </row>
    <row r="931" spans="5:5" ht="22">
      <c r="E931" s="2"/>
    </row>
    <row r="932" spans="5:5" ht="22">
      <c r="E932" s="2"/>
    </row>
    <row r="933" spans="5:5" ht="22">
      <c r="E933" s="2"/>
    </row>
    <row r="934" spans="5:5" ht="22">
      <c r="E934" s="2"/>
    </row>
    <row r="935" spans="5:5" ht="22">
      <c r="E935" s="2"/>
    </row>
    <row r="936" spans="5:5" ht="22">
      <c r="E936" s="2"/>
    </row>
    <row r="937" spans="5:5" ht="22">
      <c r="E937" s="2"/>
    </row>
    <row r="938" spans="5:5" ht="22">
      <c r="E938" s="2"/>
    </row>
    <row r="939" spans="5:5" ht="22">
      <c r="E939" s="2"/>
    </row>
    <row r="940" spans="5:5" ht="22">
      <c r="E940" s="2"/>
    </row>
    <row r="941" spans="5:5" ht="22">
      <c r="E941" s="2"/>
    </row>
    <row r="942" spans="5:5" ht="22">
      <c r="E942" s="2"/>
    </row>
    <row r="943" spans="5:5" ht="22">
      <c r="E943" s="2"/>
    </row>
    <row r="944" spans="5:5" ht="22">
      <c r="E944" s="2"/>
    </row>
    <row r="945" spans="5:5" ht="22">
      <c r="E945" s="2"/>
    </row>
    <row r="946" spans="5:5" ht="22">
      <c r="E946" s="2"/>
    </row>
    <row r="947" spans="5:5" ht="22">
      <c r="E947" s="2"/>
    </row>
    <row r="948" spans="5:5" ht="22">
      <c r="E948" s="2"/>
    </row>
    <row r="949" spans="5:5" ht="22">
      <c r="E949" s="2"/>
    </row>
    <row r="950" spans="5:5" ht="22">
      <c r="E950" s="2"/>
    </row>
    <row r="951" spans="5:5" ht="22">
      <c r="E951" s="2"/>
    </row>
    <row r="952" spans="5:5" ht="22">
      <c r="E952" s="2"/>
    </row>
    <row r="953" spans="5:5" ht="22">
      <c r="E953" s="2"/>
    </row>
    <row r="954" spans="5:5" ht="22">
      <c r="E954" s="2"/>
    </row>
    <row r="955" spans="5:5" ht="22">
      <c r="E955" s="2"/>
    </row>
    <row r="956" spans="5:5" ht="22">
      <c r="E956" s="2"/>
    </row>
    <row r="957" spans="5:5" ht="22">
      <c r="E957" s="2"/>
    </row>
    <row r="958" spans="5:5" ht="22">
      <c r="E958" s="2"/>
    </row>
    <row r="959" spans="5:5" ht="22">
      <c r="E959" s="2"/>
    </row>
    <row r="960" spans="5:5" ht="22">
      <c r="E960" s="2"/>
    </row>
    <row r="961" spans="5:5" ht="22">
      <c r="E961" s="2"/>
    </row>
    <row r="962" spans="5:5" ht="22">
      <c r="E962" s="2"/>
    </row>
    <row r="963" spans="5:5" ht="22">
      <c r="E963" s="2"/>
    </row>
    <row r="964" spans="5:5" ht="22">
      <c r="E964" s="2"/>
    </row>
    <row r="965" spans="5:5" ht="22">
      <c r="E965" s="2"/>
    </row>
    <row r="966" spans="5:5" ht="22">
      <c r="E966" s="2"/>
    </row>
    <row r="967" spans="5:5" ht="22">
      <c r="E967" s="2"/>
    </row>
    <row r="968" spans="5:5" ht="22">
      <c r="E968" s="2"/>
    </row>
    <row r="969" spans="5:5" ht="22">
      <c r="E969" s="2"/>
    </row>
    <row r="970" spans="5:5" ht="22">
      <c r="E970" s="2"/>
    </row>
    <row r="971" spans="5:5" ht="22">
      <c r="E971" s="2"/>
    </row>
    <row r="972" spans="5:5" ht="22">
      <c r="E972" s="2"/>
    </row>
    <row r="973" spans="5:5" ht="22">
      <c r="E973" s="2"/>
    </row>
    <row r="974" spans="5:5" ht="22">
      <c r="E974" s="2"/>
    </row>
    <row r="975" spans="5:5" ht="22">
      <c r="E975" s="2"/>
    </row>
    <row r="976" spans="5:5" ht="22">
      <c r="E976" s="2"/>
    </row>
    <row r="977" spans="5:5" ht="22">
      <c r="E977" s="2"/>
    </row>
    <row r="978" spans="5:5" ht="22">
      <c r="E978" s="2"/>
    </row>
    <row r="979" spans="5:5" ht="22">
      <c r="E979" s="2"/>
    </row>
    <row r="980" spans="5:5" ht="22">
      <c r="E980" s="2"/>
    </row>
    <row r="981" spans="5:5" ht="22">
      <c r="E981" s="2"/>
    </row>
    <row r="982" spans="5:5" ht="22">
      <c r="E982" s="2"/>
    </row>
    <row r="983" spans="5:5" ht="22">
      <c r="E983" s="2"/>
    </row>
    <row r="984" spans="5:5" ht="22">
      <c r="E984" s="2"/>
    </row>
    <row r="985" spans="5:5" ht="22">
      <c r="E985" s="2"/>
    </row>
    <row r="986" spans="5:5" ht="22">
      <c r="E986" s="2"/>
    </row>
    <row r="987" spans="5:5" ht="22">
      <c r="E987" s="2"/>
    </row>
    <row r="988" spans="5:5" ht="22">
      <c r="E988" s="2"/>
    </row>
    <row r="989" spans="5:5" ht="22">
      <c r="E989" s="2"/>
    </row>
    <row r="990" spans="5:5" ht="22">
      <c r="E990" s="2"/>
    </row>
    <row r="991" spans="5:5" ht="22">
      <c r="E991" s="2"/>
    </row>
    <row r="992" spans="5:5" ht="22">
      <c r="E992" s="2"/>
    </row>
    <row r="993" spans="5:5" ht="22">
      <c r="E993" s="2"/>
    </row>
    <row r="994" spans="5:5" ht="22">
      <c r="E994" s="2"/>
    </row>
    <row r="995" spans="5:5" ht="22">
      <c r="E995" s="2"/>
    </row>
    <row r="996" spans="5:5" ht="22">
      <c r="E996" s="2"/>
    </row>
    <row r="997" spans="5:5" ht="22">
      <c r="E997" s="2"/>
    </row>
    <row r="998" spans="5:5" ht="22">
      <c r="E998" s="2"/>
    </row>
    <row r="999" spans="5:5" ht="22">
      <c r="E999" s="2"/>
    </row>
    <row r="1000" spans="5:5" ht="22">
      <c r="E1000" s="2"/>
    </row>
    <row r="1001" spans="5:5" ht="22">
      <c r="E1001" s="2"/>
    </row>
    <row r="1002" spans="5:5" ht="22">
      <c r="E1002" s="2"/>
    </row>
    <row r="1003" spans="5:5" ht="22">
      <c r="E1003" s="2"/>
    </row>
    <row r="1004" spans="5:5" ht="22">
      <c r="E1004" s="2"/>
    </row>
    <row r="1005" spans="5:5" ht="22">
      <c r="E1005" s="2"/>
    </row>
    <row r="1006" spans="5:5" ht="22">
      <c r="E1006" s="2"/>
    </row>
    <row r="1007" spans="5:5" ht="22">
      <c r="E1007" s="2"/>
    </row>
    <row r="1008" spans="5:5" ht="22">
      <c r="E1008" s="2"/>
    </row>
    <row r="1009" spans="5:5" ht="22">
      <c r="E1009" s="2"/>
    </row>
    <row r="1010" spans="5:5" ht="22">
      <c r="E1010" s="2"/>
    </row>
    <row r="1011" spans="5:5" ht="22">
      <c r="E1011" s="2"/>
    </row>
    <row r="1012" spans="5:5" ht="22">
      <c r="E1012" s="2"/>
    </row>
    <row r="1013" spans="5:5" ht="22">
      <c r="E1013" s="2"/>
    </row>
    <row r="1014" spans="5:5" ht="22">
      <c r="E1014" s="2"/>
    </row>
    <row r="1015" spans="5:5" ht="22">
      <c r="E1015" s="2"/>
    </row>
    <row r="1016" spans="5:5" ht="22">
      <c r="E1016" s="2"/>
    </row>
    <row r="1017" spans="5:5" ht="22">
      <c r="E1017" s="2"/>
    </row>
    <row r="1018" spans="5:5" ht="22">
      <c r="E1018" s="2"/>
    </row>
    <row r="1019" spans="5:5" ht="22">
      <c r="E1019" s="2"/>
    </row>
    <row r="1020" spans="5:5" ht="22">
      <c r="E1020" s="2"/>
    </row>
    <row r="1021" spans="5:5" ht="22">
      <c r="E1021" s="2"/>
    </row>
    <row r="1022" spans="5:5" ht="22">
      <c r="E1022" s="2"/>
    </row>
    <row r="1023" spans="5:5" ht="22">
      <c r="E1023" s="2"/>
    </row>
    <row r="1024" spans="5:5" ht="22">
      <c r="E1024" s="2"/>
    </row>
    <row r="1025" spans="5:5" ht="22">
      <c r="E1025" s="2"/>
    </row>
    <row r="1026" spans="5:5" ht="22">
      <c r="E1026" s="2"/>
    </row>
    <row r="1027" spans="5:5" ht="22">
      <c r="E1027" s="2"/>
    </row>
    <row r="1028" spans="5:5" ht="22">
      <c r="E1028" s="2"/>
    </row>
    <row r="1029" spans="5:5" ht="22">
      <c r="E1029" s="2"/>
    </row>
    <row r="1030" spans="5:5" ht="22">
      <c r="E1030" s="2"/>
    </row>
    <row r="1031" spans="5:5" ht="22">
      <c r="E1031" s="2"/>
    </row>
    <row r="1032" spans="5:5" ht="22">
      <c r="E1032" s="2"/>
    </row>
    <row r="1033" spans="5:5" ht="22">
      <c r="E1033" s="2"/>
    </row>
    <row r="1034" spans="5:5" ht="22">
      <c r="E1034" s="2"/>
    </row>
    <row r="1035" spans="5:5" ht="22">
      <c r="E1035" s="2"/>
    </row>
    <row r="1036" spans="5:5" ht="22">
      <c r="E1036" s="2"/>
    </row>
    <row r="1037" spans="5:5" ht="22">
      <c r="E1037" s="2"/>
    </row>
    <row r="1038" spans="5:5" ht="22">
      <c r="E1038" s="2"/>
    </row>
    <row r="1039" spans="5:5" ht="22">
      <c r="E1039" s="2"/>
    </row>
    <row r="1040" spans="5:5" ht="22">
      <c r="E1040" s="2"/>
    </row>
    <row r="1041" spans="5:5" ht="22">
      <c r="E1041" s="2"/>
    </row>
    <row r="1042" spans="5:5" ht="22">
      <c r="E1042" s="2"/>
    </row>
    <row r="1043" spans="5:5" ht="22">
      <c r="E1043" s="2"/>
    </row>
    <row r="1044" spans="5:5" ht="22">
      <c r="E1044" s="2"/>
    </row>
    <row r="1045" spans="5:5" ht="22">
      <c r="E1045" s="2"/>
    </row>
    <row r="1046" spans="5:5" ht="22">
      <c r="E1046" s="2"/>
    </row>
    <row r="1047" spans="5:5" ht="22">
      <c r="E1047" s="2"/>
    </row>
    <row r="1048" spans="5:5" ht="22">
      <c r="E1048" s="2"/>
    </row>
    <row r="1049" spans="5:5" ht="22">
      <c r="E1049" s="2"/>
    </row>
    <row r="1050" spans="5:5" ht="22">
      <c r="E1050" s="2"/>
    </row>
    <row r="1051" spans="5:5" ht="22">
      <c r="E1051" s="2"/>
    </row>
    <row r="1052" spans="5:5" ht="22">
      <c r="E1052" s="2"/>
    </row>
    <row r="1053" spans="5:5" ht="22">
      <c r="E1053" s="2"/>
    </row>
    <row r="1054" spans="5:5" ht="22">
      <c r="E1054" s="2"/>
    </row>
    <row r="1055" spans="5:5" ht="22">
      <c r="E1055" s="2"/>
    </row>
    <row r="1056" spans="5:5" ht="22">
      <c r="E1056" s="2"/>
    </row>
    <row r="1057" spans="5:5" ht="22">
      <c r="E1057" s="2"/>
    </row>
    <row r="1058" spans="5:5" ht="22">
      <c r="E1058" s="2"/>
    </row>
    <row r="1059" spans="5:5" ht="22">
      <c r="E1059" s="2"/>
    </row>
    <row r="1060" spans="5:5" ht="22">
      <c r="E1060" s="2"/>
    </row>
    <row r="1061" spans="5:5" ht="22">
      <c r="E1061" s="2"/>
    </row>
    <row r="1062" spans="5:5" ht="22">
      <c r="E1062" s="2"/>
    </row>
    <row r="1063" spans="5:5" ht="22">
      <c r="E1063" s="2"/>
    </row>
    <row r="1064" spans="5:5" ht="22">
      <c r="E1064" s="2"/>
    </row>
    <row r="1065" spans="5:5" ht="22">
      <c r="E1065" s="2"/>
    </row>
    <row r="1066" spans="5:5" ht="22">
      <c r="E1066" s="2"/>
    </row>
    <row r="1067" spans="5:5" ht="22">
      <c r="E1067" s="2"/>
    </row>
    <row r="1068" spans="5:5" ht="22">
      <c r="E1068" s="2"/>
    </row>
    <row r="1069" spans="5:5" ht="22">
      <c r="E1069" s="2"/>
    </row>
    <row r="1070" spans="5:5" ht="22">
      <c r="E1070" s="2"/>
    </row>
    <row r="1071" spans="5:5" ht="22">
      <c r="E1071" s="2"/>
    </row>
    <row r="1072" spans="5:5" ht="22">
      <c r="E1072" s="2"/>
    </row>
    <row r="1073" spans="5:5" ht="22">
      <c r="E1073" s="2"/>
    </row>
    <row r="1074" spans="5:5" ht="22">
      <c r="E1074" s="2"/>
    </row>
    <row r="1075" spans="5:5" ht="22">
      <c r="E1075" s="2"/>
    </row>
    <row r="1076" spans="5:5" ht="22">
      <c r="E1076" s="2"/>
    </row>
    <row r="1077" spans="5:5" ht="22">
      <c r="E1077" s="2"/>
    </row>
    <row r="1078" spans="5:5" ht="22">
      <c r="E1078" s="2"/>
    </row>
    <row r="1079" spans="5:5" ht="22">
      <c r="E1079" s="2"/>
    </row>
    <row r="1080" spans="5:5" ht="22">
      <c r="E1080" s="2"/>
    </row>
    <row r="1081" spans="5:5" ht="22">
      <c r="E1081" s="2"/>
    </row>
    <row r="1082" spans="5:5" ht="22">
      <c r="E1082" s="2"/>
    </row>
    <row r="1083" spans="5:5" ht="22">
      <c r="E1083" s="2"/>
    </row>
    <row r="1084" spans="5:5" ht="22">
      <c r="E1084" s="2"/>
    </row>
    <row r="1085" spans="5:5" ht="22">
      <c r="E1085" s="2"/>
    </row>
    <row r="1086" spans="5:5" ht="22">
      <c r="E1086" s="2"/>
    </row>
    <row r="1087" spans="5:5" ht="22">
      <c r="E1087" s="2"/>
    </row>
    <row r="1088" spans="5:5" ht="22">
      <c r="E1088" s="2"/>
    </row>
    <row r="1089" spans="5:5" ht="22">
      <c r="E1089" s="2"/>
    </row>
    <row r="1090" spans="5:5" ht="22">
      <c r="E1090" s="2"/>
    </row>
    <row r="1091" spans="5:5" ht="22">
      <c r="E1091" s="2"/>
    </row>
    <row r="1092" spans="5:5" ht="22">
      <c r="E1092" s="2"/>
    </row>
    <row r="1093" spans="5:5" ht="22">
      <c r="E1093" s="2"/>
    </row>
    <row r="1094" spans="5:5" ht="22">
      <c r="E1094" s="2"/>
    </row>
    <row r="1095" spans="5:5" ht="22">
      <c r="E1095" s="2"/>
    </row>
    <row r="1096" spans="5:5" ht="22">
      <c r="E1096" s="2"/>
    </row>
    <row r="1097" spans="5:5" ht="22">
      <c r="E1097" s="2"/>
    </row>
    <row r="1098" spans="5:5" ht="22">
      <c r="E1098" s="2"/>
    </row>
    <row r="1099" spans="5:5" ht="22">
      <c r="E1099" s="2"/>
    </row>
    <row r="1100" spans="5:5" ht="22">
      <c r="E1100" s="2"/>
    </row>
    <row r="1101" spans="5:5" ht="22">
      <c r="E1101" s="2"/>
    </row>
    <row r="1102" spans="5:5" ht="22">
      <c r="E1102" s="2"/>
    </row>
    <row r="1103" spans="5:5" ht="22">
      <c r="E1103" s="2"/>
    </row>
    <row r="1104" spans="5:5" ht="22">
      <c r="E1104" s="2"/>
    </row>
    <row r="1105" spans="5:5" ht="22">
      <c r="E1105" s="2"/>
    </row>
    <row r="1106" spans="5:5" ht="22">
      <c r="E1106" s="2"/>
    </row>
    <row r="1107" spans="5:5" ht="22">
      <c r="E1107" s="2"/>
    </row>
    <row r="1108" spans="5:5" ht="22">
      <c r="E1108" s="2"/>
    </row>
    <row r="1109" spans="5:5" ht="22">
      <c r="E1109" s="2"/>
    </row>
    <row r="1110" spans="5:5" ht="22">
      <c r="E1110" s="2"/>
    </row>
    <row r="1111" spans="5:5" ht="22">
      <c r="E1111" s="2"/>
    </row>
    <row r="1112" spans="5:5" ht="22">
      <c r="E1112" s="2"/>
    </row>
    <row r="1113" spans="5:5" ht="22">
      <c r="E1113" s="2"/>
    </row>
    <row r="1114" spans="5:5" ht="22">
      <c r="E1114" s="2"/>
    </row>
    <row r="1115" spans="5:5" ht="22">
      <c r="E1115" s="2"/>
    </row>
    <row r="1116" spans="5:5" ht="22">
      <c r="E1116" s="2"/>
    </row>
    <row r="1117" spans="5:5" ht="22">
      <c r="E1117" s="2"/>
    </row>
    <row r="1118" spans="5:5" ht="22">
      <c r="E1118" s="2"/>
    </row>
    <row r="1119" spans="5:5" ht="22">
      <c r="E1119" s="2"/>
    </row>
    <row r="1120" spans="5:5" ht="22">
      <c r="E1120" s="2"/>
    </row>
    <row r="1121" spans="5:5" ht="22">
      <c r="E1121" s="2"/>
    </row>
    <row r="1122" spans="5:5" ht="22">
      <c r="E1122" s="2"/>
    </row>
    <row r="1123" spans="5:5" ht="22">
      <c r="E1123" s="2"/>
    </row>
    <row r="1124" spans="5:5" ht="22">
      <c r="E1124" s="2"/>
    </row>
    <row r="1125" spans="5:5" ht="22">
      <c r="E1125" s="2"/>
    </row>
    <row r="1126" spans="5:5" ht="22">
      <c r="E1126" s="2"/>
    </row>
    <row r="1127" spans="5:5" ht="22">
      <c r="E1127" s="2"/>
    </row>
    <row r="1128" spans="5:5" ht="22">
      <c r="E1128" s="2"/>
    </row>
    <row r="1129" spans="5:5" ht="22">
      <c r="E1129" s="2"/>
    </row>
    <row r="1130" spans="5:5" ht="22">
      <c r="E1130" s="2"/>
    </row>
    <row r="1131" spans="5:5" ht="22">
      <c r="E1131" s="2"/>
    </row>
    <row r="1132" spans="5:5" ht="22">
      <c r="E1132" s="2"/>
    </row>
    <row r="1133" spans="5:5" ht="22">
      <c r="E1133" s="2"/>
    </row>
    <row r="1134" spans="5:5" ht="22">
      <c r="E1134" s="2"/>
    </row>
    <row r="1135" spans="5:5" ht="22">
      <c r="E1135" s="2"/>
    </row>
    <row r="1136" spans="5:5" ht="22">
      <c r="E1136" s="2"/>
    </row>
    <row r="1137" spans="5:5" ht="22">
      <c r="E1137" s="2"/>
    </row>
    <row r="1138" spans="5:5" ht="22">
      <c r="E1138" s="2"/>
    </row>
    <row r="1139" spans="5:5" ht="22">
      <c r="E1139" s="2"/>
    </row>
    <row r="1140" spans="5:5" ht="22">
      <c r="E1140" s="2"/>
    </row>
    <row r="1141" spans="5:5" ht="22">
      <c r="E1141" s="2"/>
    </row>
    <row r="1142" spans="5:5" ht="22">
      <c r="E1142" s="2"/>
    </row>
    <row r="1143" spans="5:5" ht="22">
      <c r="E1143" s="2"/>
    </row>
    <row r="1144" spans="5:5" ht="22">
      <c r="E1144" s="2"/>
    </row>
    <row r="1145" spans="5:5" ht="22">
      <c r="E1145" s="2"/>
    </row>
    <row r="1146" spans="5:5" ht="22">
      <c r="E1146" s="2"/>
    </row>
    <row r="1147" spans="5:5" ht="22">
      <c r="E1147" s="2"/>
    </row>
    <row r="1148" spans="5:5" ht="22">
      <c r="E1148" s="2"/>
    </row>
    <row r="1149" spans="5:5" ht="22">
      <c r="E1149" s="2"/>
    </row>
    <row r="1150" spans="5:5" ht="22">
      <c r="E1150" s="2"/>
    </row>
    <row r="1151" spans="5:5" ht="22">
      <c r="E1151" s="2"/>
    </row>
    <row r="1152" spans="5:5" ht="22">
      <c r="E1152" s="2"/>
    </row>
    <row r="1153" spans="5:5" ht="22">
      <c r="E1153" s="2"/>
    </row>
    <row r="1154" spans="5:5" ht="22">
      <c r="E1154" s="2"/>
    </row>
    <row r="1155" spans="5:5" ht="22">
      <c r="E1155" s="2"/>
    </row>
    <row r="1156" spans="5:5" ht="22">
      <c r="E1156" s="2"/>
    </row>
    <row r="1157" spans="5:5" ht="22">
      <c r="E1157" s="2"/>
    </row>
    <row r="1158" spans="5:5" ht="22">
      <c r="E1158" s="2"/>
    </row>
    <row r="1159" spans="5:5" ht="22">
      <c r="E1159" s="2"/>
    </row>
    <row r="1160" spans="5:5" ht="22">
      <c r="E1160" s="2"/>
    </row>
    <row r="1161" spans="5:5" ht="22">
      <c r="E1161" s="2"/>
    </row>
    <row r="1162" spans="5:5" ht="22">
      <c r="E1162" s="2"/>
    </row>
    <row r="1163" spans="5:5" ht="22">
      <c r="E1163" s="2"/>
    </row>
    <row r="1164" spans="5:5" ht="22">
      <c r="E1164" s="2"/>
    </row>
    <row r="1165" spans="5:5" ht="22">
      <c r="E1165" s="2"/>
    </row>
    <row r="1166" spans="5:5" ht="22">
      <c r="E1166" s="2"/>
    </row>
    <row r="1167" spans="5:5" ht="22">
      <c r="E1167" s="2"/>
    </row>
    <row r="1168" spans="5:5" ht="22">
      <c r="E1168" s="2"/>
    </row>
    <row r="1169" spans="5:5" ht="22">
      <c r="E1169" s="2"/>
    </row>
    <row r="1170" spans="5:5" ht="22">
      <c r="E1170" s="2"/>
    </row>
    <row r="1171" spans="5:5" ht="22">
      <c r="E1171" s="2"/>
    </row>
    <row r="1172" spans="5:5" ht="22">
      <c r="E1172" s="2"/>
    </row>
    <row r="1173" spans="5:5" ht="22">
      <c r="E1173" s="2"/>
    </row>
    <row r="1174" spans="5:5" ht="22">
      <c r="E1174" s="2"/>
    </row>
    <row r="1175" spans="5:5" ht="22">
      <c r="E1175" s="2"/>
    </row>
    <row r="1176" spans="5:5" ht="22">
      <c r="E1176" s="2"/>
    </row>
    <row r="1177" spans="5:5" ht="22">
      <c r="E1177" s="2"/>
    </row>
    <row r="1178" spans="5:5" ht="22">
      <c r="E1178" s="2"/>
    </row>
    <row r="1179" spans="5:5" ht="22">
      <c r="E1179" s="2"/>
    </row>
    <row r="1180" spans="5:5" ht="22">
      <c r="E1180" s="2"/>
    </row>
    <row r="1181" spans="5:5" ht="22">
      <c r="E1181" s="2"/>
    </row>
    <row r="1182" spans="5:5" ht="22">
      <c r="E1182" s="2"/>
    </row>
    <row r="1183" spans="5:5" ht="22">
      <c r="E1183" s="2"/>
    </row>
    <row r="1184" spans="5:5" ht="22">
      <c r="E1184" s="2"/>
    </row>
    <row r="1185" spans="5:5" ht="22">
      <c r="E1185" s="2"/>
    </row>
    <row r="1186" spans="5:5" ht="22">
      <c r="E1186" s="2"/>
    </row>
    <row r="1187" spans="5:5" ht="22">
      <c r="E1187" s="2"/>
    </row>
    <row r="1188" spans="5:5" ht="22">
      <c r="E1188" s="2"/>
    </row>
    <row r="1189" spans="5:5" ht="22">
      <c r="E1189" s="2"/>
    </row>
    <row r="1190" spans="5:5" ht="22">
      <c r="E1190" s="2"/>
    </row>
    <row r="1191" spans="5:5" ht="22">
      <c r="E1191" s="2"/>
    </row>
    <row r="1192" spans="5:5" ht="22">
      <c r="E1192" s="2"/>
    </row>
    <row r="1193" spans="5:5" ht="22">
      <c r="E1193" s="2"/>
    </row>
    <row r="1194" spans="5:5" ht="22">
      <c r="E1194" s="2"/>
    </row>
    <row r="1195" spans="5:5" ht="22">
      <c r="E1195" s="2"/>
    </row>
    <row r="1196" spans="5:5" ht="22">
      <c r="E1196" s="2"/>
    </row>
    <row r="1197" spans="5:5" ht="22">
      <c r="E1197" s="2"/>
    </row>
    <row r="1198" spans="5:5" ht="22">
      <c r="E1198" s="2"/>
    </row>
    <row r="1199" spans="5:5" ht="22">
      <c r="E1199" s="2"/>
    </row>
    <row r="1200" spans="5:5" ht="22">
      <c r="E1200" s="2"/>
    </row>
    <row r="1201" spans="5:5" ht="22">
      <c r="E1201" s="2"/>
    </row>
    <row r="1202" spans="5:5" ht="22">
      <c r="E1202" s="2"/>
    </row>
    <row r="1203" spans="5:5" ht="22">
      <c r="E1203" s="2"/>
    </row>
    <row r="1204" spans="5:5" ht="22">
      <c r="E1204" s="2"/>
    </row>
    <row r="1205" spans="5:5" ht="22">
      <c r="E1205" s="2"/>
    </row>
    <row r="1206" spans="5:5" ht="22">
      <c r="E1206" s="2"/>
    </row>
    <row r="1207" spans="5:5" ht="22">
      <c r="E1207" s="2"/>
    </row>
    <row r="1208" spans="5:5" ht="22">
      <c r="E1208" s="2"/>
    </row>
    <row r="1209" spans="5:5" ht="22">
      <c r="E1209" s="2"/>
    </row>
    <row r="1210" spans="5:5" ht="22">
      <c r="E1210" s="2"/>
    </row>
    <row r="1211" spans="5:5" ht="22">
      <c r="E1211" s="2"/>
    </row>
    <row r="1212" spans="5:5" ht="22">
      <c r="E1212" s="2"/>
    </row>
    <row r="1213" spans="5:5" ht="22">
      <c r="E1213" s="2"/>
    </row>
    <row r="1214" spans="5:5" ht="22">
      <c r="E1214" s="2"/>
    </row>
    <row r="1215" spans="5:5" ht="22">
      <c r="E1215" s="2"/>
    </row>
    <row r="1216" spans="5:5" ht="22">
      <c r="E1216" s="2"/>
    </row>
    <row r="1217" spans="5:5" ht="22">
      <c r="E1217" s="2"/>
    </row>
    <row r="1218" spans="5:5" ht="22">
      <c r="E1218" s="2"/>
    </row>
    <row r="1219" spans="5:5" ht="22">
      <c r="E1219" s="2"/>
    </row>
    <row r="1220" spans="5:5" ht="22">
      <c r="E1220" s="2"/>
    </row>
    <row r="1221" spans="5:5" ht="22">
      <c r="E1221" s="2"/>
    </row>
    <row r="1222" spans="5:5" ht="22">
      <c r="E1222" s="2"/>
    </row>
    <row r="1223" spans="5:5" ht="22">
      <c r="E1223" s="2"/>
    </row>
    <row r="1224" spans="5:5" ht="22">
      <c r="E1224" s="2"/>
    </row>
    <row r="1225" spans="5:5" ht="22">
      <c r="E1225" s="2"/>
    </row>
    <row r="1226" spans="5:5" ht="22">
      <c r="E1226" s="2"/>
    </row>
    <row r="1227" spans="5:5" ht="22">
      <c r="E1227" s="2"/>
    </row>
    <row r="1228" spans="5:5" ht="22">
      <c r="E1228" s="2"/>
    </row>
    <row r="1229" spans="5:5" ht="22">
      <c r="E1229" s="2"/>
    </row>
    <row r="1230" spans="5:5" ht="22">
      <c r="E1230" s="2"/>
    </row>
    <row r="1231" spans="5:5" ht="22">
      <c r="E1231" s="2"/>
    </row>
    <row r="1232" spans="5:5" ht="22">
      <c r="E1232" s="2"/>
    </row>
    <row r="1233" spans="5:5" ht="22">
      <c r="E1233" s="2"/>
    </row>
    <row r="1234" spans="5:5" ht="22">
      <c r="E1234" s="2"/>
    </row>
    <row r="1235" spans="5:5" ht="22">
      <c r="E1235" s="2"/>
    </row>
    <row r="1236" spans="5:5" ht="22">
      <c r="E1236" s="2"/>
    </row>
    <row r="1237" spans="5:5" ht="22">
      <c r="E1237" s="2"/>
    </row>
    <row r="1238" spans="5:5" ht="22">
      <c r="E1238" s="2"/>
    </row>
    <row r="1239" spans="5:5" ht="22">
      <c r="E1239" s="2"/>
    </row>
    <row r="1240" spans="5:5" ht="22">
      <c r="E1240" s="2"/>
    </row>
    <row r="1241" spans="5:5" ht="22">
      <c r="E1241" s="2"/>
    </row>
    <row r="1242" spans="5:5" ht="22">
      <c r="E1242" s="2"/>
    </row>
    <row r="1243" spans="5:5" ht="22">
      <c r="E1243" s="2"/>
    </row>
    <row r="1244" spans="5:5" ht="22">
      <c r="E1244" s="2"/>
    </row>
    <row r="1245" spans="5:5" ht="22">
      <c r="E1245" s="2"/>
    </row>
    <row r="1246" spans="5:5" ht="22">
      <c r="E1246" s="2"/>
    </row>
    <row r="1247" spans="5:5" ht="22">
      <c r="E1247" s="2"/>
    </row>
    <row r="1248" spans="5:5" ht="22">
      <c r="E1248" s="2"/>
    </row>
    <row r="1249" spans="5:5" ht="22">
      <c r="E1249" s="2"/>
    </row>
    <row r="1250" spans="5:5" ht="22">
      <c r="E1250" s="2"/>
    </row>
    <row r="1251" spans="5:5" ht="22">
      <c r="E1251" s="2"/>
    </row>
    <row r="1252" spans="5:5" ht="22">
      <c r="E1252" s="2"/>
    </row>
    <row r="1253" spans="5:5" ht="22">
      <c r="E1253" s="2"/>
    </row>
    <row r="1254" spans="5:5" ht="22">
      <c r="E1254" s="2"/>
    </row>
    <row r="1255" spans="5:5" ht="22">
      <c r="E1255" s="2"/>
    </row>
    <row r="1256" spans="5:5" ht="22">
      <c r="E1256" s="2"/>
    </row>
    <row r="1257" spans="5:5" ht="22">
      <c r="E1257" s="2"/>
    </row>
    <row r="1258" spans="5:5" ht="22">
      <c r="E1258" s="2"/>
    </row>
    <row r="1259" spans="5:5" ht="22">
      <c r="E1259" s="2"/>
    </row>
    <row r="1260" spans="5:5" ht="22">
      <c r="E1260" s="2"/>
    </row>
    <row r="1261" spans="5:5" ht="22">
      <c r="E1261" s="2"/>
    </row>
    <row r="1262" spans="5:5" ht="22">
      <c r="E1262" s="2"/>
    </row>
    <row r="1263" spans="5:5" ht="22">
      <c r="E1263" s="2"/>
    </row>
    <row r="1264" spans="5:5" ht="22">
      <c r="E1264" s="2"/>
    </row>
    <row r="1265" spans="5:5" ht="22">
      <c r="E1265" s="2"/>
    </row>
    <row r="1266" spans="5:5" ht="22">
      <c r="E1266" s="2"/>
    </row>
    <row r="1267" spans="5:5" ht="22">
      <c r="E1267" s="2"/>
    </row>
    <row r="1268" spans="5:5" ht="22">
      <c r="E1268" s="2"/>
    </row>
    <row r="1269" spans="5:5" ht="22">
      <c r="E1269" s="2"/>
    </row>
    <row r="1270" spans="5:5" ht="22">
      <c r="E1270" s="2"/>
    </row>
    <row r="1271" spans="5:5" ht="22">
      <c r="E1271" s="2"/>
    </row>
    <row r="1272" spans="5:5" ht="22">
      <c r="E1272" s="2"/>
    </row>
    <row r="1273" spans="5:5" ht="22">
      <c r="E1273" s="2"/>
    </row>
    <row r="1274" spans="5:5" ht="22">
      <c r="E1274" s="2"/>
    </row>
    <row r="1275" spans="5:5" ht="22">
      <c r="E1275" s="2"/>
    </row>
    <row r="1276" spans="5:5" ht="22">
      <c r="E1276" s="2"/>
    </row>
    <row r="1277" spans="5:5" ht="22">
      <c r="E1277" s="2"/>
    </row>
    <row r="1278" spans="5:5" ht="22">
      <c r="E1278" s="2"/>
    </row>
    <row r="1279" spans="5:5" ht="22">
      <c r="E1279" s="2"/>
    </row>
    <row r="1280" spans="5:5" ht="22">
      <c r="E1280" s="2"/>
    </row>
    <row r="1281" spans="5:5" ht="22">
      <c r="E1281" s="2"/>
    </row>
    <row r="1282" spans="5:5" ht="22">
      <c r="E1282" s="2"/>
    </row>
    <row r="1283" spans="5:5" ht="22">
      <c r="E1283" s="2"/>
    </row>
    <row r="1284" spans="5:5" ht="22">
      <c r="E1284" s="2"/>
    </row>
    <row r="1285" spans="5:5" ht="22">
      <c r="E1285" s="2"/>
    </row>
    <row r="1286" spans="5:5" ht="22">
      <c r="E1286" s="2"/>
    </row>
    <row r="1287" spans="5:5" ht="22">
      <c r="E1287" s="2"/>
    </row>
    <row r="1288" spans="5:5" ht="22">
      <c r="E1288" s="2"/>
    </row>
    <row r="1289" spans="5:5" ht="22">
      <c r="E1289" s="2"/>
    </row>
    <row r="1290" spans="5:5" ht="22">
      <c r="E1290" s="2"/>
    </row>
    <row r="1291" spans="5:5" ht="22">
      <c r="E1291" s="2"/>
    </row>
    <row r="1292" spans="5:5" ht="22">
      <c r="E1292" s="2"/>
    </row>
    <row r="1293" spans="5:5" ht="22">
      <c r="E1293" s="2"/>
    </row>
    <row r="1294" spans="5:5" ht="22">
      <c r="E1294" s="2"/>
    </row>
    <row r="1295" spans="5:5" ht="22">
      <c r="E1295" s="2"/>
    </row>
    <row r="1296" spans="5:5" ht="22">
      <c r="E1296" s="2"/>
    </row>
    <row r="1297" spans="5:5" ht="22">
      <c r="E1297" s="2"/>
    </row>
    <row r="1298" spans="5:5" ht="22">
      <c r="E1298" s="2"/>
    </row>
    <row r="1299" spans="5:5" ht="22">
      <c r="E1299" s="2"/>
    </row>
    <row r="1300" spans="5:5" ht="22">
      <c r="E1300" s="2"/>
    </row>
    <row r="1301" spans="5:5" ht="22">
      <c r="E1301" s="2"/>
    </row>
    <row r="1302" spans="5:5" ht="22">
      <c r="E1302" s="2"/>
    </row>
    <row r="1303" spans="5:5" ht="22">
      <c r="E1303" s="2"/>
    </row>
    <row r="1304" spans="5:5" ht="22">
      <c r="E1304" s="2"/>
    </row>
    <row r="1305" spans="5:5" ht="22">
      <c r="E1305" s="2"/>
    </row>
    <row r="1306" spans="5:5" ht="22">
      <c r="E1306" s="2"/>
    </row>
    <row r="1307" spans="5:5" ht="22">
      <c r="E1307" s="2"/>
    </row>
    <row r="1308" spans="5:5" ht="22">
      <c r="E1308" s="2"/>
    </row>
    <row r="1309" spans="5:5" ht="22">
      <c r="E1309" s="2"/>
    </row>
    <row r="1310" spans="5:5" ht="22">
      <c r="E1310" s="2"/>
    </row>
    <row r="1311" spans="5:5" ht="22">
      <c r="E1311" s="2"/>
    </row>
    <row r="1312" spans="5:5" ht="22">
      <c r="E1312" s="2"/>
    </row>
    <row r="1313" spans="5:5" ht="22">
      <c r="E1313" s="2"/>
    </row>
    <row r="1314" spans="5:5" ht="22">
      <c r="E1314" s="2"/>
    </row>
    <row r="1315" spans="5:5" ht="22">
      <c r="E1315" s="2"/>
    </row>
    <row r="1316" spans="5:5" ht="22">
      <c r="E1316" s="2"/>
    </row>
    <row r="1317" spans="5:5" ht="22">
      <c r="E1317" s="2"/>
    </row>
    <row r="1318" spans="5:5" ht="22">
      <c r="E1318" s="2"/>
    </row>
    <row r="1319" spans="5:5" ht="22">
      <c r="E1319" s="2"/>
    </row>
    <row r="1320" spans="5:5" ht="22">
      <c r="E1320" s="2"/>
    </row>
    <row r="1321" spans="5:5" ht="22">
      <c r="E1321" s="2"/>
    </row>
    <row r="1322" spans="5:5" ht="22">
      <c r="E1322" s="2"/>
    </row>
    <row r="1323" spans="5:5" ht="22">
      <c r="E1323" s="2"/>
    </row>
    <row r="1324" spans="5:5" ht="22">
      <c r="E1324" s="2"/>
    </row>
    <row r="1325" spans="5:5" ht="22">
      <c r="E1325" s="2"/>
    </row>
    <row r="1326" spans="5:5" ht="22">
      <c r="E1326" s="2"/>
    </row>
    <row r="1327" spans="5:5" ht="22">
      <c r="E1327" s="2"/>
    </row>
    <row r="1328" spans="5:5" ht="22">
      <c r="E1328" s="2"/>
    </row>
    <row r="1329" spans="5:5" ht="22">
      <c r="E1329" s="2"/>
    </row>
    <row r="1330" spans="5:5" ht="22">
      <c r="E1330" s="2"/>
    </row>
    <row r="1331" spans="5:5" ht="22">
      <c r="E1331" s="2"/>
    </row>
    <row r="1332" spans="5:5" ht="22">
      <c r="E1332" s="2"/>
    </row>
    <row r="1333" spans="5:5" ht="22">
      <c r="E1333" s="2"/>
    </row>
    <row r="1334" spans="5:5" ht="22">
      <c r="E1334" s="2"/>
    </row>
    <row r="1335" spans="5:5" ht="22">
      <c r="E1335" s="2"/>
    </row>
    <row r="1336" spans="5:5" ht="22">
      <c r="E1336" s="2"/>
    </row>
    <row r="1337" spans="5:5" ht="22">
      <c r="E1337" s="2"/>
    </row>
    <row r="1338" spans="5:5" ht="22">
      <c r="E1338" s="2"/>
    </row>
    <row r="1339" spans="5:5" ht="22">
      <c r="E1339" s="2"/>
    </row>
    <row r="1340" spans="5:5" ht="22">
      <c r="E1340" s="2"/>
    </row>
    <row r="1341" spans="5:5" ht="22">
      <c r="E1341" s="2"/>
    </row>
    <row r="1342" spans="5:5" ht="22">
      <c r="E1342" s="2"/>
    </row>
    <row r="1343" spans="5:5" ht="22">
      <c r="E1343" s="2"/>
    </row>
    <row r="1344" spans="5:5" ht="22">
      <c r="E1344" s="2"/>
    </row>
    <row r="1345" spans="5:5" ht="22">
      <c r="E1345" s="2"/>
    </row>
    <row r="1346" spans="5:5" ht="22">
      <c r="E1346" s="2"/>
    </row>
    <row r="1347" spans="5:5" ht="22">
      <c r="E1347" s="2"/>
    </row>
    <row r="1348" spans="5:5" ht="22">
      <c r="E1348" s="2"/>
    </row>
    <row r="1349" spans="5:5" ht="22">
      <c r="E1349" s="2"/>
    </row>
    <row r="1350" spans="5:5" ht="22">
      <c r="E1350" s="2"/>
    </row>
    <row r="1351" spans="5:5" ht="22">
      <c r="E1351" s="2"/>
    </row>
    <row r="1352" spans="5:5" ht="22">
      <c r="E1352" s="2"/>
    </row>
    <row r="1353" spans="5:5" ht="22">
      <c r="E1353" s="2"/>
    </row>
    <row r="1354" spans="5:5" ht="22">
      <c r="E1354" s="2"/>
    </row>
    <row r="1355" spans="5:5" ht="22">
      <c r="E1355" s="2"/>
    </row>
    <row r="1356" spans="5:5" ht="22">
      <c r="E1356" s="2"/>
    </row>
    <row r="1357" spans="5:5" ht="22">
      <c r="E1357" s="2"/>
    </row>
    <row r="1358" spans="5:5" ht="22">
      <c r="E1358" s="2"/>
    </row>
    <row r="1359" spans="5:5" ht="22">
      <c r="E1359" s="2"/>
    </row>
    <row r="1360" spans="5:5" ht="22">
      <c r="E1360" s="2"/>
    </row>
    <row r="1361" spans="5:5" ht="22">
      <c r="E1361" s="2"/>
    </row>
    <row r="1362" spans="5:5" ht="22">
      <c r="E1362" s="2"/>
    </row>
    <row r="1363" spans="5:5" ht="22">
      <c r="E1363" s="2"/>
    </row>
    <row r="1364" spans="5:5" ht="22">
      <c r="E1364" s="2"/>
    </row>
    <row r="1365" spans="5:5" ht="22">
      <c r="E1365" s="2"/>
    </row>
    <row r="1366" spans="5:5" ht="22">
      <c r="E1366" s="2"/>
    </row>
    <row r="1367" spans="5:5" ht="22">
      <c r="E1367" s="2"/>
    </row>
    <row r="1368" spans="5:5" ht="22">
      <c r="E1368" s="2"/>
    </row>
    <row r="1369" spans="5:5" ht="22">
      <c r="E1369" s="2"/>
    </row>
    <row r="1370" spans="5:5" ht="22">
      <c r="E1370" s="2"/>
    </row>
    <row r="1371" spans="5:5" ht="22">
      <c r="E1371" s="2"/>
    </row>
    <row r="1372" spans="5:5" ht="22">
      <c r="E1372" s="2"/>
    </row>
    <row r="1373" spans="5:5" ht="22">
      <c r="E1373" s="2"/>
    </row>
    <row r="1374" spans="5:5" ht="22">
      <c r="E1374" s="2"/>
    </row>
    <row r="1375" spans="5:5" ht="22">
      <c r="E1375" s="2"/>
    </row>
    <row r="1376" spans="5:5" ht="22">
      <c r="E1376" s="2"/>
    </row>
    <row r="1377" spans="5:5" ht="22">
      <c r="E1377" s="2"/>
    </row>
    <row r="1378" spans="5:5" ht="22">
      <c r="E1378" s="2"/>
    </row>
    <row r="1379" spans="5:5" ht="22">
      <c r="E1379" s="2"/>
    </row>
    <row r="1380" spans="5:5" ht="22">
      <c r="E1380" s="2"/>
    </row>
    <row r="1381" spans="5:5" ht="22">
      <c r="E1381" s="2"/>
    </row>
    <row r="1382" spans="5:5" ht="22">
      <c r="E1382" s="2"/>
    </row>
    <row r="1383" spans="5:5" ht="22">
      <c r="E1383" s="2"/>
    </row>
    <row r="1384" spans="5:5" ht="22">
      <c r="E1384" s="2"/>
    </row>
    <row r="1385" spans="5:5" ht="22">
      <c r="E1385" s="2"/>
    </row>
    <row r="1386" spans="5:5" ht="22">
      <c r="E1386" s="2"/>
    </row>
    <row r="1387" spans="5:5" ht="22">
      <c r="E1387" s="2"/>
    </row>
    <row r="1388" spans="5:5" ht="22">
      <c r="E1388" s="2"/>
    </row>
    <row r="1389" spans="5:5" ht="22">
      <c r="E1389" s="2"/>
    </row>
    <row r="1390" spans="5:5" ht="22">
      <c r="E1390" s="2"/>
    </row>
    <row r="1391" spans="5:5" ht="22">
      <c r="E1391" s="2"/>
    </row>
    <row r="1392" spans="5:5" ht="22">
      <c r="E1392" s="2"/>
    </row>
    <row r="1393" spans="5:5" ht="22">
      <c r="E1393" s="2"/>
    </row>
    <row r="1394" spans="5:5" ht="22">
      <c r="E1394" s="2"/>
    </row>
    <row r="1395" spans="5:5" ht="22">
      <c r="E1395" s="2"/>
    </row>
    <row r="1396" spans="5:5" ht="22">
      <c r="E1396" s="2"/>
    </row>
    <row r="1397" spans="5:5" ht="22">
      <c r="E1397" s="2"/>
    </row>
    <row r="1398" spans="5:5" ht="22">
      <c r="E1398" s="2"/>
    </row>
    <row r="1399" spans="5:5" ht="22">
      <c r="E1399" s="2"/>
    </row>
    <row r="1400" spans="5:5" ht="22">
      <c r="E1400" s="2"/>
    </row>
    <row r="1401" spans="5:5" ht="22">
      <c r="E1401" s="2"/>
    </row>
    <row r="1402" spans="5:5" ht="22">
      <c r="E1402" s="2"/>
    </row>
    <row r="1403" spans="5:5" ht="22">
      <c r="E1403" s="2"/>
    </row>
    <row r="1404" spans="5:5" ht="22">
      <c r="E1404" s="2"/>
    </row>
    <row r="1405" spans="5:5" ht="22">
      <c r="E1405" s="2"/>
    </row>
    <row r="1406" spans="5:5" ht="22">
      <c r="E1406" s="2"/>
    </row>
    <row r="1407" spans="5:5" ht="22">
      <c r="E1407" s="2"/>
    </row>
    <row r="1408" spans="5:5" ht="22">
      <c r="E1408" s="2"/>
    </row>
    <row r="1409" spans="5:5" ht="22">
      <c r="E1409" s="2"/>
    </row>
    <row r="1410" spans="5:5" ht="22">
      <c r="E1410" s="2"/>
    </row>
    <row r="1411" spans="5:5" ht="22">
      <c r="E1411" s="2"/>
    </row>
    <row r="1412" spans="5:5" ht="22">
      <c r="E1412" s="2"/>
    </row>
    <row r="1413" spans="5:5" ht="22">
      <c r="E1413" s="2"/>
    </row>
    <row r="1414" spans="5:5" ht="22">
      <c r="E1414" s="2"/>
    </row>
    <row r="1415" spans="5:5" ht="22">
      <c r="E1415" s="2"/>
    </row>
    <row r="1416" spans="5:5" ht="22">
      <c r="E1416" s="2"/>
    </row>
    <row r="1417" spans="5:5" ht="22">
      <c r="E1417" s="2"/>
    </row>
    <row r="1418" spans="5:5" ht="22">
      <c r="E1418" s="2"/>
    </row>
    <row r="1419" spans="5:5" ht="22">
      <c r="E1419" s="2"/>
    </row>
    <row r="1420" spans="5:5" ht="22">
      <c r="E1420" s="2"/>
    </row>
    <row r="1421" spans="5:5" ht="22">
      <c r="E1421" s="2"/>
    </row>
    <row r="1422" spans="5:5" ht="22">
      <c r="E1422" s="2"/>
    </row>
    <row r="1423" spans="5:5" ht="22">
      <c r="E1423" s="2"/>
    </row>
    <row r="1424" spans="5:5" ht="22">
      <c r="E1424" s="2"/>
    </row>
    <row r="1425" spans="5:5" ht="22">
      <c r="E1425" s="2"/>
    </row>
    <row r="1426" spans="5:5" ht="22">
      <c r="E1426" s="2"/>
    </row>
    <row r="1427" spans="5:5" ht="22">
      <c r="E1427" s="2"/>
    </row>
    <row r="1428" spans="5:5" ht="22">
      <c r="E1428" s="2"/>
    </row>
    <row r="1429" spans="5:5" ht="22">
      <c r="E1429" s="2"/>
    </row>
    <row r="1430" spans="5:5" ht="22">
      <c r="E1430" s="2"/>
    </row>
    <row r="1431" spans="5:5" ht="22">
      <c r="E1431" s="2"/>
    </row>
    <row r="1432" spans="5:5" ht="22">
      <c r="E1432" s="2"/>
    </row>
    <row r="1433" spans="5:5" ht="22">
      <c r="E1433" s="2"/>
    </row>
    <row r="1434" spans="5:5" ht="22">
      <c r="E1434" s="2"/>
    </row>
    <row r="1435" spans="5:5" ht="22">
      <c r="E1435" s="2"/>
    </row>
    <row r="1436" spans="5:5" ht="22">
      <c r="E1436" s="2"/>
    </row>
    <row r="1437" spans="5:5" ht="22">
      <c r="E1437" s="2"/>
    </row>
    <row r="1438" spans="5:5" ht="22">
      <c r="E1438" s="2"/>
    </row>
    <row r="1439" spans="5:5" ht="22">
      <c r="E1439" s="2"/>
    </row>
    <row r="1440" spans="5:5" ht="22">
      <c r="E1440" s="2"/>
    </row>
    <row r="1441" spans="5:5" ht="22">
      <c r="E1441" s="2"/>
    </row>
    <row r="1442" spans="5:5" ht="22">
      <c r="E1442" s="2"/>
    </row>
    <row r="1443" spans="5:5" ht="22">
      <c r="E1443" s="2"/>
    </row>
    <row r="1444" spans="5:5" ht="22">
      <c r="E1444" s="2"/>
    </row>
    <row r="1445" spans="5:5" ht="22">
      <c r="E1445" s="2"/>
    </row>
    <row r="1446" spans="5:5" ht="22">
      <c r="E1446" s="2"/>
    </row>
    <row r="1447" spans="5:5" ht="22">
      <c r="E1447" s="2"/>
    </row>
    <row r="1448" spans="5:5" ht="22">
      <c r="E1448" s="2"/>
    </row>
    <row r="1449" spans="5:5" ht="22">
      <c r="E1449" s="2"/>
    </row>
    <row r="1450" spans="5:5" ht="22">
      <c r="E1450" s="2"/>
    </row>
    <row r="1451" spans="5:5" ht="22">
      <c r="E1451" s="2"/>
    </row>
    <row r="1452" spans="5:5" ht="22">
      <c r="E1452" s="2"/>
    </row>
    <row r="1453" spans="5:5" ht="22">
      <c r="E1453" s="2"/>
    </row>
    <row r="1454" spans="5:5" ht="22">
      <c r="E1454" s="2"/>
    </row>
    <row r="1455" spans="5:5" ht="22">
      <c r="E1455" s="2"/>
    </row>
    <row r="1456" spans="5:5" ht="22">
      <c r="E1456" s="2"/>
    </row>
    <row r="1457" spans="5:5" ht="22">
      <c r="E1457" s="2"/>
    </row>
    <row r="1458" spans="5:5" ht="22">
      <c r="E1458" s="2"/>
    </row>
    <row r="1459" spans="5:5" ht="22">
      <c r="E1459" s="2"/>
    </row>
    <row r="1460" spans="5:5" ht="22">
      <c r="E1460" s="2"/>
    </row>
    <row r="1461" spans="5:5" ht="22">
      <c r="E1461" s="2"/>
    </row>
    <row r="1462" spans="5:5" ht="22">
      <c r="E1462" s="2"/>
    </row>
    <row r="1463" spans="5:5" ht="22">
      <c r="E1463" s="2"/>
    </row>
    <row r="1464" spans="5:5" ht="22">
      <c r="E1464" s="2"/>
    </row>
    <row r="1465" spans="5:5" ht="22">
      <c r="E1465" s="2"/>
    </row>
    <row r="1466" spans="5:5" ht="22">
      <c r="E1466" s="2"/>
    </row>
    <row r="1467" spans="5:5" ht="22">
      <c r="E1467" s="2"/>
    </row>
    <row r="1468" spans="5:5" ht="22">
      <c r="E1468" s="2"/>
    </row>
    <row r="1469" spans="5:5" ht="22">
      <c r="E1469" s="2"/>
    </row>
    <row r="1470" spans="5:5" ht="22">
      <c r="E1470" s="2"/>
    </row>
    <row r="1471" spans="5:5" ht="22">
      <c r="E1471" s="2"/>
    </row>
    <row r="1472" spans="5:5" ht="22">
      <c r="E1472" s="2"/>
    </row>
    <row r="1473" spans="5:5" ht="22">
      <c r="E1473" s="2"/>
    </row>
    <row r="1474" spans="5:5" ht="22">
      <c r="E1474" s="2"/>
    </row>
    <row r="1475" spans="5:5" ht="22">
      <c r="E1475" s="2"/>
    </row>
    <row r="1476" spans="5:5" ht="22">
      <c r="E1476" s="2"/>
    </row>
    <row r="1477" spans="5:5" ht="22">
      <c r="E1477" s="2"/>
    </row>
    <row r="1478" spans="5:5" ht="22">
      <c r="E1478" s="2"/>
    </row>
    <row r="1479" spans="5:5" ht="22">
      <c r="E1479" s="2"/>
    </row>
    <row r="1480" spans="5:5" ht="22">
      <c r="E1480" s="2"/>
    </row>
    <row r="1481" spans="5:5" ht="22">
      <c r="E1481" s="2"/>
    </row>
    <row r="1482" spans="5:5" ht="22">
      <c r="E1482" s="2"/>
    </row>
    <row r="1483" spans="5:5" ht="22">
      <c r="E1483" s="2"/>
    </row>
    <row r="1484" spans="5:5" ht="22">
      <c r="E1484" s="2"/>
    </row>
    <row r="1485" spans="5:5" ht="22">
      <c r="E1485" s="2"/>
    </row>
    <row r="1486" spans="5:5" ht="22">
      <c r="E1486" s="2"/>
    </row>
    <row r="1487" spans="5:5" ht="22">
      <c r="E1487" s="2"/>
    </row>
    <row r="1488" spans="5:5" ht="22">
      <c r="E1488" s="2"/>
    </row>
    <row r="1489" spans="5:5" ht="22">
      <c r="E1489" s="2"/>
    </row>
    <row r="1490" spans="5:5" ht="22">
      <c r="E1490" s="2"/>
    </row>
    <row r="1491" spans="5:5" ht="22">
      <c r="E1491" s="2"/>
    </row>
    <row r="1492" spans="5:5" ht="22">
      <c r="E1492" s="2"/>
    </row>
    <row r="1493" spans="5:5" ht="22">
      <c r="E1493" s="2"/>
    </row>
    <row r="1494" spans="5:5" ht="22">
      <c r="E1494" s="2"/>
    </row>
    <row r="1495" spans="5:5" ht="22">
      <c r="E1495" s="2"/>
    </row>
    <row r="1496" spans="5:5" ht="22">
      <c r="E1496" s="2"/>
    </row>
    <row r="1497" spans="5:5" ht="22">
      <c r="E1497" s="2"/>
    </row>
    <row r="1498" spans="5:5" ht="22">
      <c r="E1498" s="2"/>
    </row>
    <row r="1499" spans="5:5" ht="22">
      <c r="E1499" s="2"/>
    </row>
    <row r="1500" spans="5:5" ht="22">
      <c r="E1500" s="2"/>
    </row>
    <row r="1501" spans="5:5" ht="22">
      <c r="E1501" s="2"/>
    </row>
    <row r="1502" spans="5:5" ht="22">
      <c r="E1502" s="2"/>
    </row>
    <row r="1503" spans="5:5" ht="22">
      <c r="E1503" s="2"/>
    </row>
    <row r="1504" spans="5:5" ht="22">
      <c r="E1504" s="2"/>
    </row>
    <row r="1505" spans="5:5" ht="22">
      <c r="E1505" s="2"/>
    </row>
    <row r="1506" spans="5:5" ht="22">
      <c r="E1506" s="2"/>
    </row>
    <row r="1507" spans="5:5" ht="22">
      <c r="E1507" s="2"/>
    </row>
    <row r="1508" spans="5:5" ht="22">
      <c r="E1508" s="2"/>
    </row>
    <row r="1509" spans="5:5" ht="22">
      <c r="E1509" s="2"/>
    </row>
    <row r="1510" spans="5:5" ht="22">
      <c r="E1510" s="2"/>
    </row>
    <row r="1511" spans="5:5" ht="22">
      <c r="E1511" s="2"/>
    </row>
    <row r="1512" spans="5:5" ht="22">
      <c r="E1512" s="2"/>
    </row>
    <row r="1513" spans="5:5" ht="22">
      <c r="E1513" s="2"/>
    </row>
    <row r="1514" spans="5:5" ht="22">
      <c r="E1514" s="2"/>
    </row>
    <row r="1515" spans="5:5" ht="22">
      <c r="E1515" s="2"/>
    </row>
    <row r="1516" spans="5:5" ht="22">
      <c r="E1516" s="2"/>
    </row>
    <row r="1517" spans="5:5" ht="22">
      <c r="E1517" s="2"/>
    </row>
    <row r="1518" spans="5:5" ht="22">
      <c r="E1518" s="2"/>
    </row>
    <row r="1519" spans="5:5" ht="22">
      <c r="E1519" s="2"/>
    </row>
    <row r="1520" spans="5:5" ht="22">
      <c r="E1520" s="2"/>
    </row>
    <row r="1521" spans="5:5" ht="22">
      <c r="E1521" s="2"/>
    </row>
    <row r="1522" spans="5:5" ht="22">
      <c r="E1522" s="2"/>
    </row>
    <row r="1523" spans="5:5" ht="22">
      <c r="E1523" s="2"/>
    </row>
    <row r="1524" spans="5:5" ht="22">
      <c r="E1524" s="2"/>
    </row>
    <row r="1525" spans="5:5" ht="22">
      <c r="E1525" s="2"/>
    </row>
    <row r="1526" spans="5:5" ht="22">
      <c r="E1526" s="2"/>
    </row>
    <row r="1527" spans="5:5" ht="22">
      <c r="E1527" s="2"/>
    </row>
    <row r="1528" spans="5:5" ht="22">
      <c r="E1528" s="2"/>
    </row>
    <row r="1529" spans="5:5" ht="22">
      <c r="E1529" s="2"/>
    </row>
    <row r="1530" spans="5:5" ht="22">
      <c r="E1530" s="2"/>
    </row>
    <row r="1531" spans="5:5" ht="22">
      <c r="E1531" s="2"/>
    </row>
    <row r="1532" spans="5:5" ht="22">
      <c r="E1532" s="2"/>
    </row>
    <row r="1533" spans="5:5" ht="22">
      <c r="E1533" s="2"/>
    </row>
    <row r="1534" spans="5:5" ht="22">
      <c r="E1534" s="2"/>
    </row>
    <row r="1535" spans="5:5" ht="22">
      <c r="E1535" s="2"/>
    </row>
    <row r="1536" spans="5:5" ht="22">
      <c r="E1536" s="2"/>
    </row>
    <row r="1537" spans="5:5" ht="22">
      <c r="E1537" s="2"/>
    </row>
    <row r="1538" spans="5:5" ht="22">
      <c r="E1538" s="2"/>
    </row>
    <row r="1539" spans="5:5" ht="22">
      <c r="E1539" s="2"/>
    </row>
    <row r="1540" spans="5:5" ht="22">
      <c r="E1540" s="2"/>
    </row>
    <row r="1541" spans="5:5" ht="22">
      <c r="E1541" s="2"/>
    </row>
    <row r="1542" spans="5:5" ht="22">
      <c r="E1542" s="2"/>
    </row>
    <row r="1543" spans="5:5" ht="22">
      <c r="E1543" s="2"/>
    </row>
    <row r="1544" spans="5:5" ht="22">
      <c r="E1544" s="2"/>
    </row>
    <row r="1545" spans="5:5" ht="22">
      <c r="E1545" s="2"/>
    </row>
    <row r="1546" spans="5:5" ht="22">
      <c r="E1546" s="2"/>
    </row>
    <row r="1547" spans="5:5" ht="22">
      <c r="E1547" s="2"/>
    </row>
    <row r="1548" spans="5:5" ht="22">
      <c r="E1548" s="2"/>
    </row>
    <row r="1549" spans="5:5" ht="22">
      <c r="E1549" s="2"/>
    </row>
    <row r="1550" spans="5:5" ht="22">
      <c r="E1550" s="2"/>
    </row>
    <row r="1551" spans="5:5" ht="22">
      <c r="E1551" s="2"/>
    </row>
    <row r="1552" spans="5:5" ht="22">
      <c r="E1552" s="2"/>
    </row>
    <row r="1553" spans="5:5" ht="22">
      <c r="E1553" s="2"/>
    </row>
    <row r="1554" spans="5:5" ht="22">
      <c r="E1554" s="2"/>
    </row>
    <row r="1555" spans="5:5" ht="22">
      <c r="E1555" s="2"/>
    </row>
    <row r="1556" spans="5:5" ht="22">
      <c r="E1556" s="2"/>
    </row>
    <row r="1557" spans="5:5" ht="22">
      <c r="E1557" s="2"/>
    </row>
    <row r="1558" spans="5:5" ht="22">
      <c r="E1558" s="2"/>
    </row>
    <row r="1559" spans="5:5" ht="22">
      <c r="E1559" s="2"/>
    </row>
    <row r="1560" spans="5:5" ht="22">
      <c r="E1560" s="2"/>
    </row>
    <row r="1561" spans="5:5" ht="22">
      <c r="E1561" s="2"/>
    </row>
    <row r="1562" spans="5:5" ht="22">
      <c r="E1562" s="2"/>
    </row>
    <row r="1563" spans="5:5" ht="22">
      <c r="E1563" s="2"/>
    </row>
    <row r="1564" spans="5:5" ht="22">
      <c r="E1564" s="2"/>
    </row>
    <row r="1565" spans="5:5" ht="22">
      <c r="E1565" s="2"/>
    </row>
    <row r="1566" spans="5:5" ht="22">
      <c r="E1566" s="2"/>
    </row>
    <row r="1567" spans="5:5" ht="22">
      <c r="E1567" s="2"/>
    </row>
    <row r="1568" spans="5:5" ht="22">
      <c r="E1568" s="2"/>
    </row>
    <row r="1569" spans="5:5" ht="22">
      <c r="E1569" s="2"/>
    </row>
    <row r="1570" spans="5:5" ht="22">
      <c r="E1570" s="2"/>
    </row>
    <row r="1571" spans="5:5" ht="22">
      <c r="E1571" s="2"/>
    </row>
    <row r="1572" spans="5:5" ht="22">
      <c r="E1572" s="2"/>
    </row>
    <row r="1573" spans="5:5" ht="22">
      <c r="E1573" s="2"/>
    </row>
    <row r="1574" spans="5:5" ht="22">
      <c r="E1574" s="2"/>
    </row>
    <row r="1575" spans="5:5" ht="22">
      <c r="E1575" s="2"/>
    </row>
    <row r="1576" spans="5:5" ht="22">
      <c r="E1576" s="2"/>
    </row>
    <row r="1577" spans="5:5" ht="22">
      <c r="E1577" s="2"/>
    </row>
    <row r="1578" spans="5:5" ht="22">
      <c r="E1578" s="2"/>
    </row>
    <row r="1579" spans="5:5" ht="22">
      <c r="E1579" s="2"/>
    </row>
    <row r="1580" spans="5:5" ht="22">
      <c r="E1580" s="2"/>
    </row>
    <row r="1581" spans="5:5" ht="22">
      <c r="E1581" s="2"/>
    </row>
    <row r="1582" spans="5:5" ht="22">
      <c r="E1582" s="2"/>
    </row>
    <row r="1583" spans="5:5" ht="22">
      <c r="E1583" s="2"/>
    </row>
    <row r="1584" spans="5:5" ht="22">
      <c r="E1584" s="2"/>
    </row>
    <row r="1585" spans="5:5" ht="22">
      <c r="E1585" s="2"/>
    </row>
    <row r="1586" spans="5:5" ht="22">
      <c r="E1586" s="2"/>
    </row>
    <row r="1587" spans="5:5" ht="22">
      <c r="E1587" s="2"/>
    </row>
    <row r="1588" spans="5:5" ht="22">
      <c r="E1588" s="2"/>
    </row>
    <row r="1589" spans="5:5" ht="22">
      <c r="E1589" s="2"/>
    </row>
    <row r="1590" spans="5:5" ht="22">
      <c r="E1590" s="2"/>
    </row>
    <row r="1591" spans="5:5" ht="22">
      <c r="E1591" s="2"/>
    </row>
    <row r="1592" spans="5:5" ht="22">
      <c r="E1592" s="2"/>
    </row>
    <row r="1593" spans="5:5" ht="22">
      <c r="E1593" s="2"/>
    </row>
    <row r="1594" spans="5:5" ht="22">
      <c r="E1594" s="2"/>
    </row>
    <row r="1595" spans="5:5" ht="22">
      <c r="E1595" s="2"/>
    </row>
    <row r="1596" spans="5:5" ht="22">
      <c r="E1596" s="2"/>
    </row>
    <row r="1597" spans="5:5" ht="22">
      <c r="E1597" s="2"/>
    </row>
    <row r="1598" spans="5:5" ht="22">
      <c r="E1598" s="2"/>
    </row>
    <row r="1599" spans="5:5" ht="22">
      <c r="E1599" s="2"/>
    </row>
    <row r="1600" spans="5:5" ht="22">
      <c r="E1600" s="2"/>
    </row>
    <row r="1601" spans="5:5" ht="22">
      <c r="E1601" s="2"/>
    </row>
    <row r="1602" spans="5:5" ht="22">
      <c r="E1602" s="2"/>
    </row>
    <row r="1603" spans="5:5" ht="22">
      <c r="E1603" s="2"/>
    </row>
    <row r="1604" spans="5:5" ht="22">
      <c r="E1604" s="2"/>
    </row>
    <row r="1605" spans="5:5" ht="22">
      <c r="E1605" s="2"/>
    </row>
    <row r="1606" spans="5:5" ht="22">
      <c r="E1606" s="2"/>
    </row>
    <row r="1607" spans="5:5" ht="22">
      <c r="E1607" s="2"/>
    </row>
    <row r="1608" spans="5:5" ht="22">
      <c r="E1608" s="2"/>
    </row>
    <row r="1609" spans="5:5" ht="22">
      <c r="E1609" s="2"/>
    </row>
    <row r="1610" spans="5:5" ht="22">
      <c r="E1610" s="2"/>
    </row>
    <row r="1611" spans="5:5" ht="22">
      <c r="E1611" s="2"/>
    </row>
    <row r="1612" spans="5:5" ht="22">
      <c r="E1612" s="2"/>
    </row>
    <row r="1613" spans="5:5" ht="22">
      <c r="E1613" s="2"/>
    </row>
    <row r="1614" spans="5:5" ht="22">
      <c r="E1614" s="2"/>
    </row>
    <row r="1615" spans="5:5" ht="22">
      <c r="E1615" s="2"/>
    </row>
    <row r="1616" spans="5:5" ht="22">
      <c r="E1616" s="2"/>
    </row>
    <row r="1617" spans="5:5" ht="22">
      <c r="E1617" s="2"/>
    </row>
    <row r="1618" spans="5:5" ht="22">
      <c r="E1618" s="2"/>
    </row>
    <row r="1619" spans="5:5" ht="22">
      <c r="E1619" s="2"/>
    </row>
    <row r="1620" spans="5:5" ht="22">
      <c r="E1620" s="2"/>
    </row>
    <row r="1621" spans="5:5" ht="22">
      <c r="E1621" s="2"/>
    </row>
    <row r="1622" spans="5:5" ht="22">
      <c r="E1622" s="2"/>
    </row>
    <row r="1623" spans="5:5" ht="22">
      <c r="E1623" s="2"/>
    </row>
    <row r="1624" spans="5:5" ht="22">
      <c r="E1624" s="2"/>
    </row>
    <row r="1625" spans="5:5" ht="22">
      <c r="E1625" s="2"/>
    </row>
    <row r="1626" spans="5:5" ht="22">
      <c r="E1626" s="2"/>
    </row>
    <row r="1627" spans="5:5" ht="22">
      <c r="E1627" s="2"/>
    </row>
    <row r="1628" spans="5:5" ht="22">
      <c r="E1628" s="2"/>
    </row>
    <row r="1629" spans="5:5" ht="22">
      <c r="E1629" s="2"/>
    </row>
    <row r="1630" spans="5:5" ht="22">
      <c r="E1630" s="2"/>
    </row>
    <row r="1631" spans="5:5" ht="22">
      <c r="E1631" s="2"/>
    </row>
    <row r="1632" spans="5:5" ht="22">
      <c r="E1632" s="2"/>
    </row>
    <row r="1633" spans="5:5" ht="22">
      <c r="E1633" s="2"/>
    </row>
    <row r="1634" spans="5:5" ht="22">
      <c r="E1634" s="2"/>
    </row>
    <row r="1635" spans="5:5" ht="22">
      <c r="E1635" s="2"/>
    </row>
    <row r="1636" spans="5:5" ht="22">
      <c r="E1636" s="2"/>
    </row>
    <row r="1637" spans="5:5" ht="22">
      <c r="E1637" s="2"/>
    </row>
    <row r="1638" spans="5:5" ht="22">
      <c r="E1638" s="2"/>
    </row>
    <row r="1639" spans="5:5" ht="22">
      <c r="E1639" s="2"/>
    </row>
    <row r="1640" spans="5:5" ht="22">
      <c r="E1640" s="2"/>
    </row>
    <row r="1641" spans="5:5" ht="22">
      <c r="E1641" s="2"/>
    </row>
    <row r="1642" spans="5:5" ht="22">
      <c r="E1642" s="2"/>
    </row>
    <row r="1643" spans="5:5" ht="22">
      <c r="E1643" s="2"/>
    </row>
    <row r="1644" spans="5:5" ht="22">
      <c r="E1644" s="2"/>
    </row>
    <row r="1645" spans="5:5" ht="22">
      <c r="E1645" s="2"/>
    </row>
    <row r="1646" spans="5:5" ht="22">
      <c r="E1646" s="2"/>
    </row>
    <row r="1647" spans="5:5" ht="22">
      <c r="E1647" s="2"/>
    </row>
    <row r="1648" spans="5:5" ht="22">
      <c r="E1648" s="2"/>
    </row>
    <row r="1649" spans="5:5" ht="22">
      <c r="E1649" s="2"/>
    </row>
    <row r="1650" spans="5:5" ht="22">
      <c r="E1650" s="2"/>
    </row>
    <row r="1651" spans="5:5" ht="22">
      <c r="E1651" s="2"/>
    </row>
    <row r="1652" spans="5:5" ht="22">
      <c r="E1652" s="2"/>
    </row>
    <row r="1653" spans="5:5" ht="22">
      <c r="E1653" s="2"/>
    </row>
    <row r="1654" spans="5:5" ht="22">
      <c r="E1654" s="2"/>
    </row>
    <row r="1655" spans="5:5" ht="22">
      <c r="E1655" s="2"/>
    </row>
    <row r="1656" spans="5:5" ht="22">
      <c r="E1656" s="2"/>
    </row>
    <row r="1657" spans="5:5" ht="22">
      <c r="E1657" s="2"/>
    </row>
    <row r="1658" spans="5:5" ht="22">
      <c r="E1658" s="2"/>
    </row>
    <row r="1659" spans="5:5" ht="22">
      <c r="E1659" s="2"/>
    </row>
    <row r="1660" spans="5:5" ht="22">
      <c r="E1660" s="2"/>
    </row>
    <row r="1661" spans="5:5" ht="22">
      <c r="E1661" s="2"/>
    </row>
    <row r="1662" spans="5:5" ht="22">
      <c r="E1662" s="2"/>
    </row>
    <row r="1663" spans="5:5" ht="22">
      <c r="E1663" s="2"/>
    </row>
    <row r="1664" spans="5:5" ht="22">
      <c r="E1664" s="2"/>
    </row>
    <row r="1665" spans="5:5" ht="22">
      <c r="E1665" s="2"/>
    </row>
    <row r="1666" spans="5:5" ht="22">
      <c r="E1666" s="2"/>
    </row>
    <row r="1667" spans="5:5" ht="22">
      <c r="E1667" s="2"/>
    </row>
    <row r="1668" spans="5:5" ht="22">
      <c r="E1668" s="2"/>
    </row>
    <row r="1669" spans="5:5" ht="22">
      <c r="E1669" s="2"/>
    </row>
    <row r="1670" spans="5:5" ht="22">
      <c r="E1670" s="2"/>
    </row>
    <row r="1671" spans="5:5" ht="22">
      <c r="E1671" s="2"/>
    </row>
    <row r="1672" spans="5:5" ht="22">
      <c r="E1672" s="2"/>
    </row>
    <row r="1673" spans="5:5" ht="22">
      <c r="E1673" s="2"/>
    </row>
    <row r="1674" spans="5:5" ht="22">
      <c r="E1674" s="2"/>
    </row>
    <row r="1675" spans="5:5" ht="22">
      <c r="E1675" s="2"/>
    </row>
    <row r="1676" spans="5:5" ht="22">
      <c r="E1676" s="2"/>
    </row>
    <row r="1677" spans="5:5" ht="22">
      <c r="E1677" s="2"/>
    </row>
    <row r="1678" spans="5:5" ht="22">
      <c r="E1678" s="2"/>
    </row>
    <row r="1679" spans="5:5" ht="22">
      <c r="E1679" s="2"/>
    </row>
    <row r="1680" spans="5:5" ht="22">
      <c r="E1680" s="2"/>
    </row>
    <row r="1681" spans="5:5" ht="22">
      <c r="E1681" s="2"/>
    </row>
    <row r="1682" spans="5:5" ht="22">
      <c r="E1682" s="2"/>
    </row>
    <row r="1683" spans="5:5" ht="22">
      <c r="E1683" s="2"/>
    </row>
    <row r="1684" spans="5:5" ht="22">
      <c r="E1684" s="2"/>
    </row>
    <row r="1685" spans="5:5" ht="22">
      <c r="E1685" s="2"/>
    </row>
    <row r="1686" spans="5:5" ht="22">
      <c r="E1686" s="2"/>
    </row>
    <row r="1687" spans="5:5" ht="22">
      <c r="E1687" s="2"/>
    </row>
    <row r="1688" spans="5:5" ht="22">
      <c r="E1688" s="2"/>
    </row>
    <row r="1689" spans="5:5" ht="22">
      <c r="E1689" s="2"/>
    </row>
    <row r="1690" spans="5:5" ht="22">
      <c r="E1690" s="2"/>
    </row>
    <row r="1691" spans="5:5" ht="22">
      <c r="E1691" s="2"/>
    </row>
    <row r="1692" spans="5:5" ht="22">
      <c r="E1692" s="2"/>
    </row>
    <row r="1693" spans="5:5" ht="22">
      <c r="E1693" s="2"/>
    </row>
    <row r="1694" spans="5:5" ht="22">
      <c r="E1694" s="2"/>
    </row>
    <row r="1695" spans="5:5" ht="22">
      <c r="E1695" s="2"/>
    </row>
    <row r="1696" spans="5:5" ht="22">
      <c r="E1696" s="2"/>
    </row>
    <row r="1697" spans="5:5" ht="22">
      <c r="E1697" s="2"/>
    </row>
    <row r="1698" spans="5:5" ht="22">
      <c r="E1698" s="2"/>
    </row>
    <row r="1699" spans="5:5" ht="22">
      <c r="E1699" s="2"/>
    </row>
    <row r="1700" spans="5:5" ht="22">
      <c r="E1700" s="2"/>
    </row>
    <row r="1701" spans="5:5" ht="22">
      <c r="E1701" s="2"/>
    </row>
    <row r="1702" spans="5:5" ht="22">
      <c r="E1702" s="2"/>
    </row>
    <row r="1703" spans="5:5" ht="22">
      <c r="E1703" s="2"/>
    </row>
    <row r="1704" spans="5:5" ht="22">
      <c r="E1704" s="2"/>
    </row>
    <row r="1705" spans="5:5" ht="22">
      <c r="E1705" s="2"/>
    </row>
    <row r="1706" spans="5:5" ht="22">
      <c r="E1706" s="2"/>
    </row>
    <row r="1707" spans="5:5" ht="22">
      <c r="E1707" s="2"/>
    </row>
    <row r="1708" spans="5:5" ht="22">
      <c r="E1708" s="2"/>
    </row>
    <row r="1709" spans="5:5" ht="22">
      <c r="E1709" s="2"/>
    </row>
    <row r="1710" spans="5:5" ht="22">
      <c r="E1710" s="2"/>
    </row>
    <row r="1711" spans="5:5" ht="22">
      <c r="E1711" s="2"/>
    </row>
    <row r="1712" spans="5:5" ht="22">
      <c r="E1712" s="2"/>
    </row>
    <row r="1713" spans="5:5" ht="22">
      <c r="E1713" s="2"/>
    </row>
    <row r="1714" spans="5:5" ht="22">
      <c r="E1714" s="2"/>
    </row>
    <row r="1715" spans="5:5" ht="22">
      <c r="E1715" s="2"/>
    </row>
    <row r="1716" spans="5:5" ht="22">
      <c r="E1716" s="2"/>
    </row>
    <row r="1717" spans="5:5" ht="22">
      <c r="E1717" s="2"/>
    </row>
    <row r="1718" spans="5:5" ht="22">
      <c r="E1718" s="2"/>
    </row>
    <row r="1719" spans="5:5" ht="22">
      <c r="E1719" s="2"/>
    </row>
    <row r="1720" spans="5:5" ht="22">
      <c r="E1720" s="2"/>
    </row>
    <row r="1721" spans="5:5" ht="22">
      <c r="E1721" s="2"/>
    </row>
    <row r="1722" spans="5:5" ht="22">
      <c r="E1722" s="2"/>
    </row>
    <row r="1723" spans="5:5" ht="22">
      <c r="E1723" s="2"/>
    </row>
    <row r="1724" spans="5:5" ht="22">
      <c r="E1724" s="2"/>
    </row>
    <row r="1725" spans="5:5" ht="22">
      <c r="E1725" s="2"/>
    </row>
    <row r="1726" spans="5:5" ht="22">
      <c r="E1726" s="2"/>
    </row>
    <row r="1727" spans="5:5" ht="22">
      <c r="E1727" s="2"/>
    </row>
    <row r="1728" spans="5:5" ht="22">
      <c r="E1728" s="2"/>
    </row>
    <row r="1729" spans="5:5" ht="22">
      <c r="E1729" s="2"/>
    </row>
    <row r="1730" spans="5:5" ht="22">
      <c r="E1730" s="2"/>
    </row>
    <row r="1731" spans="5:5" ht="22">
      <c r="E1731" s="2"/>
    </row>
    <row r="1732" spans="5:5" ht="22">
      <c r="E1732" s="2"/>
    </row>
    <row r="1733" spans="5:5" ht="22">
      <c r="E1733" s="2"/>
    </row>
    <row r="1734" spans="5:5" ht="22">
      <c r="E1734" s="2"/>
    </row>
    <row r="1735" spans="5:5" ht="22">
      <c r="E1735" s="2"/>
    </row>
    <row r="1736" spans="5:5" ht="22">
      <c r="E1736" s="2"/>
    </row>
    <row r="1737" spans="5:5" ht="22">
      <c r="E1737" s="2"/>
    </row>
    <row r="1738" spans="5:5" ht="22">
      <c r="E1738" s="2"/>
    </row>
    <row r="1739" spans="5:5" ht="22">
      <c r="E1739" s="2"/>
    </row>
    <row r="1740" spans="5:5" ht="22">
      <c r="E1740" s="2"/>
    </row>
    <row r="1741" spans="5:5" ht="22">
      <c r="E1741" s="2"/>
    </row>
    <row r="1742" spans="5:5" ht="22">
      <c r="E1742" s="2"/>
    </row>
    <row r="1743" spans="5:5" ht="22">
      <c r="E1743" s="2"/>
    </row>
    <row r="1744" spans="5:5" ht="22">
      <c r="E1744" s="2"/>
    </row>
    <row r="1745" spans="5:5" ht="22">
      <c r="E1745" s="2"/>
    </row>
    <row r="1746" spans="5:5" ht="22">
      <c r="E1746" s="2"/>
    </row>
    <row r="1747" spans="5:5" ht="22">
      <c r="E1747" s="2"/>
    </row>
    <row r="1748" spans="5:5" ht="22">
      <c r="E1748" s="2"/>
    </row>
    <row r="1749" spans="5:5" ht="22">
      <c r="E1749" s="2"/>
    </row>
    <row r="1750" spans="5:5" ht="22">
      <c r="E1750" s="2"/>
    </row>
    <row r="1751" spans="5:5" ht="22">
      <c r="E1751" s="2"/>
    </row>
    <row r="1752" spans="5:5" ht="22">
      <c r="E1752" s="2"/>
    </row>
    <row r="1753" spans="5:5" ht="22">
      <c r="E1753" s="2"/>
    </row>
    <row r="1754" spans="5:5" ht="22">
      <c r="E1754" s="2"/>
    </row>
    <row r="1755" spans="5:5" ht="22">
      <c r="E1755" s="2"/>
    </row>
    <row r="1756" spans="5:5" ht="22">
      <c r="E1756" s="2"/>
    </row>
    <row r="1757" spans="5:5" ht="22">
      <c r="E1757" s="2"/>
    </row>
    <row r="1758" spans="5:5" ht="22">
      <c r="E1758" s="2"/>
    </row>
    <row r="1759" spans="5:5" ht="22">
      <c r="E1759" s="2"/>
    </row>
    <row r="1760" spans="5:5" ht="22">
      <c r="E1760" s="2"/>
    </row>
    <row r="1761" spans="5:5" ht="22">
      <c r="E1761" s="2"/>
    </row>
    <row r="1762" spans="5:5" ht="22">
      <c r="E1762" s="2"/>
    </row>
    <row r="1763" spans="5:5" ht="22">
      <c r="E1763" s="2"/>
    </row>
    <row r="1764" spans="5:5" ht="22">
      <c r="E1764" s="2"/>
    </row>
    <row r="1765" spans="5:5" ht="22">
      <c r="E1765" s="2"/>
    </row>
    <row r="1766" spans="5:5" ht="22">
      <c r="E1766" s="2"/>
    </row>
    <row r="1767" spans="5:5" ht="22">
      <c r="E1767" s="2"/>
    </row>
    <row r="1768" spans="5:5" ht="22">
      <c r="E1768" s="2"/>
    </row>
    <row r="1769" spans="5:5" ht="22">
      <c r="E1769" s="2"/>
    </row>
    <row r="1770" spans="5:5" ht="22">
      <c r="E1770" s="2"/>
    </row>
    <row r="1771" spans="5:5" ht="22">
      <c r="E1771" s="2"/>
    </row>
    <row r="1772" spans="5:5" ht="22">
      <c r="E1772" s="2"/>
    </row>
    <row r="1773" spans="5:5" ht="22">
      <c r="E1773" s="2"/>
    </row>
    <row r="1774" spans="5:5" ht="22">
      <c r="E1774" s="2"/>
    </row>
    <row r="1775" spans="5:5" ht="22">
      <c r="E1775" s="2"/>
    </row>
    <row r="1776" spans="5:5" ht="22">
      <c r="E1776" s="2"/>
    </row>
    <row r="1777" spans="5:5" ht="22">
      <c r="E1777" s="2"/>
    </row>
    <row r="1778" spans="5:5" ht="22">
      <c r="E1778" s="2"/>
    </row>
    <row r="1779" spans="5:5" ht="22">
      <c r="E1779" s="2"/>
    </row>
    <row r="1780" spans="5:5" ht="22">
      <c r="E1780" s="2"/>
    </row>
    <row r="1781" spans="5:5" ht="22">
      <c r="E1781" s="2"/>
    </row>
    <row r="1782" spans="5:5" ht="22">
      <c r="E1782" s="2"/>
    </row>
    <row r="1783" spans="5:5" ht="22">
      <c r="E1783" s="2"/>
    </row>
    <row r="1784" spans="5:5" ht="22">
      <c r="E1784" s="2"/>
    </row>
    <row r="1785" spans="5:5" ht="22">
      <c r="E1785" s="2"/>
    </row>
    <row r="1786" spans="5:5" ht="22">
      <c r="E1786" s="2"/>
    </row>
    <row r="1787" spans="5:5" ht="22">
      <c r="E1787" s="2"/>
    </row>
    <row r="1788" spans="5:5" ht="22">
      <c r="E1788" s="2"/>
    </row>
    <row r="1789" spans="5:5" ht="22">
      <c r="E1789" s="2"/>
    </row>
    <row r="1790" spans="5:5" ht="22">
      <c r="E1790" s="2"/>
    </row>
    <row r="1791" spans="5:5" ht="22">
      <c r="E1791" s="2"/>
    </row>
    <row r="1792" spans="5:5" ht="22">
      <c r="E1792" s="2"/>
    </row>
    <row r="1793" spans="5:5" ht="22">
      <c r="E1793" s="2"/>
    </row>
    <row r="1794" spans="5:5" ht="22">
      <c r="E1794" s="2"/>
    </row>
    <row r="1795" spans="5:5" ht="22">
      <c r="E1795" s="2"/>
    </row>
    <row r="1796" spans="5:5" ht="22">
      <c r="E1796" s="2"/>
    </row>
    <row r="1797" spans="5:5" ht="22">
      <c r="E1797" s="2"/>
    </row>
    <row r="1798" spans="5:5" ht="22">
      <c r="E1798" s="2"/>
    </row>
    <row r="1799" spans="5:5" ht="22">
      <c r="E1799" s="2"/>
    </row>
    <row r="1800" spans="5:5" ht="22">
      <c r="E1800" s="2"/>
    </row>
    <row r="1801" spans="5:5" ht="22">
      <c r="E1801" s="2"/>
    </row>
    <row r="1802" spans="5:5" ht="22">
      <c r="E1802" s="2"/>
    </row>
    <row r="1803" spans="5:5" ht="22">
      <c r="E1803" s="2"/>
    </row>
    <row r="1804" spans="5:5" ht="22">
      <c r="E1804" s="2"/>
    </row>
    <row r="1805" spans="5:5" ht="22">
      <c r="E1805" s="2"/>
    </row>
    <row r="1806" spans="5:5" ht="22">
      <c r="E1806" s="2"/>
    </row>
    <row r="1807" spans="5:5" ht="22">
      <c r="E1807" s="2"/>
    </row>
    <row r="1808" spans="5:5" ht="22">
      <c r="E1808" s="2"/>
    </row>
    <row r="1809" spans="5:5" ht="22">
      <c r="E1809" s="2"/>
    </row>
    <row r="1810" spans="5:5" ht="22">
      <c r="E1810" s="2"/>
    </row>
    <row r="1811" spans="5:5" ht="22">
      <c r="E1811" s="2"/>
    </row>
    <row r="1812" spans="5:5" ht="22">
      <c r="E1812" s="2"/>
    </row>
    <row r="1813" spans="5:5" ht="22">
      <c r="E1813" s="2"/>
    </row>
    <row r="1814" spans="5:5" ht="22">
      <c r="E1814" s="2"/>
    </row>
    <row r="1815" spans="5:5" ht="22">
      <c r="E1815" s="2"/>
    </row>
    <row r="1816" spans="5:5" ht="22">
      <c r="E1816" s="2"/>
    </row>
    <row r="1817" spans="5:5" ht="22">
      <c r="E1817" s="2"/>
    </row>
    <row r="1818" spans="5:5" ht="22">
      <c r="E1818" s="2"/>
    </row>
    <row r="1819" spans="5:5" ht="22">
      <c r="E1819" s="2"/>
    </row>
    <row r="1820" spans="5:5" ht="22">
      <c r="E1820" s="2"/>
    </row>
    <row r="1821" spans="5:5" ht="22">
      <c r="E1821" s="2"/>
    </row>
    <row r="1822" spans="5:5" ht="22">
      <c r="E1822" s="2"/>
    </row>
    <row r="1823" spans="5:5" ht="22">
      <c r="E1823" s="2"/>
    </row>
    <row r="1824" spans="5:5" ht="22">
      <c r="E1824" s="2"/>
    </row>
    <row r="1825" spans="5:5" ht="22">
      <c r="E1825" s="2"/>
    </row>
    <row r="1826" spans="5:5" ht="22">
      <c r="E1826" s="2"/>
    </row>
    <row r="1827" spans="5:5" ht="22">
      <c r="E1827" s="2"/>
    </row>
    <row r="1828" spans="5:5" ht="22">
      <c r="E1828" s="2"/>
    </row>
    <row r="1829" spans="5:5" ht="22">
      <c r="E1829" s="2"/>
    </row>
    <row r="1830" spans="5:5" ht="22">
      <c r="E1830" s="2"/>
    </row>
    <row r="1831" spans="5:5" ht="22">
      <c r="E1831" s="2"/>
    </row>
    <row r="1832" spans="5:5" ht="22">
      <c r="E1832" s="2"/>
    </row>
    <row r="1833" spans="5:5" ht="22">
      <c r="E1833" s="2"/>
    </row>
    <row r="1834" spans="5:5" ht="22">
      <c r="E1834" s="2"/>
    </row>
    <row r="1835" spans="5:5" ht="22">
      <c r="E1835" s="2"/>
    </row>
    <row r="1836" spans="5:5" ht="22">
      <c r="E1836" s="2"/>
    </row>
    <row r="1837" spans="5:5" ht="22">
      <c r="E1837" s="2"/>
    </row>
    <row r="1838" spans="5:5" ht="22">
      <c r="E1838" s="2"/>
    </row>
    <row r="1839" spans="5:5" ht="22">
      <c r="E1839" s="2"/>
    </row>
    <row r="1840" spans="5:5" ht="22">
      <c r="E1840" s="2"/>
    </row>
    <row r="1841" spans="5:5" ht="22">
      <c r="E1841" s="2"/>
    </row>
    <row r="1842" spans="5:5" ht="22">
      <c r="E1842" s="2"/>
    </row>
    <row r="1843" spans="5:5" ht="22">
      <c r="E1843" s="2"/>
    </row>
    <row r="1844" spans="5:5" ht="22">
      <c r="E1844" s="2"/>
    </row>
    <row r="1845" spans="5:5" ht="22">
      <c r="E1845" s="2"/>
    </row>
    <row r="1846" spans="5:5" ht="22">
      <c r="E1846" s="2"/>
    </row>
    <row r="1847" spans="5:5" ht="22">
      <c r="E1847" s="2"/>
    </row>
    <row r="1848" spans="5:5" ht="22">
      <c r="E1848" s="2"/>
    </row>
    <row r="1849" spans="5:5" ht="22">
      <c r="E1849" s="2"/>
    </row>
    <row r="1850" spans="5:5" ht="22">
      <c r="E1850" s="2"/>
    </row>
    <row r="1851" spans="5:5" ht="22">
      <c r="E1851" s="2"/>
    </row>
    <row r="1852" spans="5:5" ht="22">
      <c r="E1852" s="2"/>
    </row>
    <row r="1853" spans="5:5" ht="22">
      <c r="E1853" s="2"/>
    </row>
    <row r="1854" spans="5:5" ht="22">
      <c r="E1854" s="2"/>
    </row>
    <row r="1855" spans="5:5" ht="22">
      <c r="E1855" s="2"/>
    </row>
    <row r="1856" spans="5:5" ht="22">
      <c r="E1856" s="2"/>
    </row>
    <row r="1857" spans="5:5" ht="22">
      <c r="E1857" s="2"/>
    </row>
    <row r="1858" spans="5:5" ht="22">
      <c r="E1858" s="2"/>
    </row>
    <row r="1859" spans="5:5" ht="22">
      <c r="E1859" s="2"/>
    </row>
    <row r="1860" spans="5:5" ht="22">
      <c r="E1860" s="2"/>
    </row>
    <row r="1861" spans="5:5" ht="22">
      <c r="E1861" s="2"/>
    </row>
    <row r="1862" spans="5:5" ht="22">
      <c r="E1862" s="2"/>
    </row>
    <row r="1863" spans="5:5" ht="22">
      <c r="E1863" s="2"/>
    </row>
    <row r="1864" spans="5:5" ht="22">
      <c r="E1864" s="2"/>
    </row>
    <row r="1865" spans="5:5" ht="22">
      <c r="E1865" s="2"/>
    </row>
    <row r="1866" spans="5:5" ht="22">
      <c r="E1866" s="2"/>
    </row>
    <row r="1867" spans="5:5" ht="22">
      <c r="E1867" s="2"/>
    </row>
    <row r="1868" spans="5:5" ht="22">
      <c r="E1868" s="2"/>
    </row>
    <row r="1869" spans="5:5" ht="22">
      <c r="E1869" s="2"/>
    </row>
    <row r="1870" spans="5:5" ht="22">
      <c r="E1870" s="2"/>
    </row>
    <row r="1871" spans="5:5" ht="22">
      <c r="E1871" s="2"/>
    </row>
    <row r="1872" spans="5:5" ht="22">
      <c r="E1872" s="2"/>
    </row>
    <row r="1873" spans="5:5" ht="22">
      <c r="E1873" s="2"/>
    </row>
    <row r="1874" spans="5:5" ht="22">
      <c r="E1874" s="2"/>
    </row>
    <row r="1875" spans="5:5" ht="22">
      <c r="E1875" s="2"/>
    </row>
    <row r="1876" spans="5:5" ht="22">
      <c r="E1876" s="2"/>
    </row>
    <row r="1877" spans="5:5" ht="22">
      <c r="E1877" s="2"/>
    </row>
    <row r="1878" spans="5:5" ht="22">
      <c r="E1878" s="2"/>
    </row>
    <row r="1879" spans="5:5" ht="22">
      <c r="E1879" s="2"/>
    </row>
    <row r="1880" spans="5:5" ht="22">
      <c r="E1880" s="2"/>
    </row>
    <row r="1881" spans="5:5" ht="22">
      <c r="E1881" s="2"/>
    </row>
    <row r="1882" spans="5:5" ht="22">
      <c r="E1882" s="2"/>
    </row>
    <row r="1883" spans="5:5" ht="22">
      <c r="E1883" s="2"/>
    </row>
    <row r="1884" spans="5:5" ht="22">
      <c r="E1884" s="2"/>
    </row>
    <row r="1885" spans="5:5" ht="22">
      <c r="E1885" s="2"/>
    </row>
    <row r="1886" spans="5:5" ht="22">
      <c r="E1886" s="2"/>
    </row>
    <row r="1887" spans="5:5" ht="22">
      <c r="E1887" s="2"/>
    </row>
    <row r="1888" spans="5:5" ht="22">
      <c r="E1888" s="2"/>
    </row>
    <row r="1889" spans="5:5" ht="22">
      <c r="E1889" s="2"/>
    </row>
    <row r="1890" spans="5:5" ht="22">
      <c r="E1890" s="2"/>
    </row>
    <row r="1891" spans="5:5" ht="22">
      <c r="E1891" s="2"/>
    </row>
    <row r="1892" spans="5:5" ht="22">
      <c r="E1892" s="2"/>
    </row>
    <row r="1893" spans="5:5" ht="22">
      <c r="E1893" s="2"/>
    </row>
    <row r="1894" spans="5:5" ht="22">
      <c r="E1894" s="2"/>
    </row>
    <row r="1895" spans="5:5" ht="22">
      <c r="E1895" s="2"/>
    </row>
    <row r="1896" spans="5:5" ht="22">
      <c r="E1896" s="2"/>
    </row>
    <row r="1897" spans="5:5" ht="22">
      <c r="E1897" s="2"/>
    </row>
    <row r="1898" spans="5:5" ht="22">
      <c r="E1898" s="2"/>
    </row>
    <row r="1899" spans="5:5" ht="22">
      <c r="E1899" s="2"/>
    </row>
    <row r="1900" spans="5:5" ht="22">
      <c r="E1900" s="2"/>
    </row>
    <row r="1901" spans="5:5" ht="22">
      <c r="E1901" s="2"/>
    </row>
    <row r="1902" spans="5:5" ht="22">
      <c r="E1902" s="2"/>
    </row>
    <row r="1903" spans="5:5" ht="22">
      <c r="E1903" s="2"/>
    </row>
    <row r="1904" spans="5:5" ht="22">
      <c r="E1904" s="2"/>
    </row>
    <row r="1905" spans="5:5" ht="22">
      <c r="E1905" s="2"/>
    </row>
    <row r="1906" spans="5:5" ht="22">
      <c r="E1906" s="2"/>
    </row>
    <row r="1907" spans="5:5" ht="22">
      <c r="E1907" s="2"/>
    </row>
    <row r="1908" spans="5:5" ht="22">
      <c r="E1908" s="2"/>
    </row>
    <row r="1909" spans="5:5" ht="22">
      <c r="E1909" s="2"/>
    </row>
    <row r="1910" spans="5:5" ht="22">
      <c r="E1910" s="2"/>
    </row>
    <row r="1911" spans="5:5" ht="22">
      <c r="E1911" s="2"/>
    </row>
    <row r="1912" spans="5:5" ht="22">
      <c r="E1912" s="2"/>
    </row>
    <row r="1913" spans="5:5" ht="22">
      <c r="E1913" s="2"/>
    </row>
    <row r="1914" spans="5:5" ht="22">
      <c r="E1914" s="2"/>
    </row>
    <row r="1915" spans="5:5" ht="22">
      <c r="E1915" s="2"/>
    </row>
    <row r="1916" spans="5:5" ht="22">
      <c r="E1916" s="2"/>
    </row>
    <row r="1917" spans="5:5" ht="22">
      <c r="E1917" s="2"/>
    </row>
    <row r="1918" spans="5:5" ht="22">
      <c r="E1918" s="2"/>
    </row>
    <row r="1919" spans="5:5" ht="22">
      <c r="E1919" s="2"/>
    </row>
    <row r="1920" spans="5:5" ht="22">
      <c r="E1920" s="2"/>
    </row>
    <row r="1921" spans="5:5" ht="22">
      <c r="E1921" s="2"/>
    </row>
    <row r="1922" spans="5:5" ht="22">
      <c r="E1922" s="2"/>
    </row>
    <row r="1923" spans="5:5" ht="22">
      <c r="E1923" s="2"/>
    </row>
    <row r="1924" spans="5:5" ht="22">
      <c r="E1924" s="2"/>
    </row>
    <row r="1925" spans="5:5" ht="22">
      <c r="E1925" s="2"/>
    </row>
    <row r="1926" spans="5:5" ht="22">
      <c r="E1926" s="2"/>
    </row>
    <row r="1927" spans="5:5" ht="22">
      <c r="E1927" s="2"/>
    </row>
    <row r="1928" spans="5:5" ht="22">
      <c r="E1928" s="2"/>
    </row>
    <row r="1929" spans="5:5" ht="22">
      <c r="E1929" s="2"/>
    </row>
    <row r="1930" spans="5:5" ht="22">
      <c r="E1930" s="2"/>
    </row>
    <row r="1931" spans="5:5" ht="22">
      <c r="E1931" s="2"/>
    </row>
    <row r="1932" spans="5:5" ht="22">
      <c r="E1932" s="2"/>
    </row>
    <row r="1933" spans="5:5" ht="22">
      <c r="E1933" s="2"/>
    </row>
    <row r="1934" spans="5:5" ht="22">
      <c r="E1934" s="2"/>
    </row>
    <row r="1935" spans="5:5" ht="22">
      <c r="E1935" s="2"/>
    </row>
    <row r="1936" spans="5:5" ht="22">
      <c r="E1936" s="2"/>
    </row>
    <row r="1937" spans="5:5" ht="22">
      <c r="E1937" s="2"/>
    </row>
    <row r="1938" spans="5:5" ht="22">
      <c r="E1938" s="2"/>
    </row>
    <row r="1939" spans="5:5" ht="22">
      <c r="E1939" s="2"/>
    </row>
    <row r="1940" spans="5:5" ht="22">
      <c r="E1940" s="2"/>
    </row>
    <row r="1941" spans="5:5" ht="22">
      <c r="E1941" s="2"/>
    </row>
    <row r="1942" spans="5:5" ht="22">
      <c r="E1942" s="2"/>
    </row>
    <row r="1943" spans="5:5" ht="22">
      <c r="E1943" s="2"/>
    </row>
    <row r="1944" spans="5:5" ht="22">
      <c r="E1944" s="2"/>
    </row>
    <row r="1945" spans="5:5" ht="22">
      <c r="E1945" s="2"/>
    </row>
    <row r="1946" spans="5:5" ht="22">
      <c r="E1946" s="2"/>
    </row>
    <row r="1947" spans="5:5" ht="22">
      <c r="E1947" s="2"/>
    </row>
    <row r="1948" spans="5:5" ht="22">
      <c r="E1948" s="2"/>
    </row>
    <row r="1949" spans="5:5" ht="22">
      <c r="E1949" s="2"/>
    </row>
    <row r="1950" spans="5:5" ht="22">
      <c r="E1950" s="2"/>
    </row>
    <row r="1951" spans="5:5" ht="22">
      <c r="E1951" s="2"/>
    </row>
    <row r="1952" spans="5:5" ht="22">
      <c r="E1952" s="2"/>
    </row>
    <row r="1953" spans="5:5" ht="22">
      <c r="E1953" s="2"/>
    </row>
    <row r="1954" spans="5:5" ht="22">
      <c r="E1954" s="2"/>
    </row>
    <row r="1955" spans="5:5" ht="22">
      <c r="E1955" s="2"/>
    </row>
    <row r="1956" spans="5:5" ht="22">
      <c r="E1956" s="2"/>
    </row>
    <row r="1957" spans="5:5" ht="22">
      <c r="E1957" s="2"/>
    </row>
    <row r="1958" spans="5:5" ht="22">
      <c r="E1958" s="2"/>
    </row>
    <row r="1959" spans="5:5" ht="22">
      <c r="E1959" s="2"/>
    </row>
    <row r="1960" spans="5:5" ht="22">
      <c r="E1960" s="2"/>
    </row>
    <row r="1961" spans="5:5" ht="22">
      <c r="E1961" s="2"/>
    </row>
    <row r="1962" spans="5:5" ht="22">
      <c r="E1962" s="2"/>
    </row>
    <row r="1963" spans="5:5" ht="22">
      <c r="E1963" s="2"/>
    </row>
    <row r="1964" spans="5:5" ht="22">
      <c r="E1964" s="2"/>
    </row>
    <row r="1965" spans="5:5" ht="22">
      <c r="E1965" s="2"/>
    </row>
    <row r="1966" spans="5:5" ht="22">
      <c r="E1966" s="2"/>
    </row>
    <row r="1967" spans="5:5" ht="22">
      <c r="E1967" s="2"/>
    </row>
    <row r="1968" spans="5:5" ht="22">
      <c r="E1968" s="2"/>
    </row>
    <row r="1969" spans="5:5" ht="22">
      <c r="E1969" s="2"/>
    </row>
    <row r="1970" spans="5:5" ht="22">
      <c r="E1970" s="2"/>
    </row>
    <row r="1971" spans="5:5" ht="22">
      <c r="E1971" s="2"/>
    </row>
    <row r="1972" spans="5:5" ht="22">
      <c r="E1972" s="2"/>
    </row>
    <row r="1973" spans="5:5" ht="22">
      <c r="E1973" s="2"/>
    </row>
    <row r="1974" spans="5:5" ht="22">
      <c r="E1974" s="2"/>
    </row>
    <row r="1975" spans="5:5" ht="22">
      <c r="E1975" s="2"/>
    </row>
    <row r="1976" spans="5:5" ht="22">
      <c r="E1976" s="2"/>
    </row>
    <row r="1977" spans="5:5" ht="22">
      <c r="E1977" s="2"/>
    </row>
    <row r="1978" spans="5:5" ht="22">
      <c r="E1978" s="2"/>
    </row>
    <row r="1979" spans="5:5" ht="22">
      <c r="E1979" s="2"/>
    </row>
    <row r="1980" spans="5:5" ht="22">
      <c r="E1980" s="2"/>
    </row>
    <row r="1981" spans="5:5" ht="22">
      <c r="E1981" s="2"/>
    </row>
    <row r="1982" spans="5:5" ht="22">
      <c r="E1982" s="2"/>
    </row>
    <row r="1983" spans="5:5" ht="22">
      <c r="E1983" s="2"/>
    </row>
    <row r="1984" spans="5:5" ht="22">
      <c r="E1984" s="2"/>
    </row>
    <row r="1985" spans="5:5" ht="22">
      <c r="E1985" s="2"/>
    </row>
    <row r="1986" spans="5:5" ht="22">
      <c r="E1986" s="2"/>
    </row>
    <row r="1987" spans="5:5" ht="22">
      <c r="E1987" s="2"/>
    </row>
    <row r="1988" spans="5:5" ht="22">
      <c r="E1988" s="2"/>
    </row>
    <row r="1989" spans="5:5" ht="22">
      <c r="E1989" s="2"/>
    </row>
    <row r="1990" spans="5:5" ht="22">
      <c r="E1990" s="2"/>
    </row>
    <row r="1991" spans="5:5" ht="22">
      <c r="E1991" s="2"/>
    </row>
    <row r="1992" spans="5:5" ht="22">
      <c r="E1992" s="2"/>
    </row>
    <row r="1993" spans="5:5" ht="22">
      <c r="E1993" s="2"/>
    </row>
    <row r="1994" spans="5:5" ht="22">
      <c r="E1994" s="2"/>
    </row>
    <row r="1995" spans="5:5" ht="22">
      <c r="E1995" s="2"/>
    </row>
    <row r="1996" spans="5:5" ht="22">
      <c r="E1996" s="2"/>
    </row>
    <row r="1997" spans="5:5" ht="22">
      <c r="E1997" s="2"/>
    </row>
    <row r="1998" spans="5:5" ht="22">
      <c r="E1998" s="2"/>
    </row>
    <row r="1999" spans="5:5" ht="22">
      <c r="E1999" s="2"/>
    </row>
    <row r="2000" spans="5:5" ht="22">
      <c r="E2000" s="2"/>
    </row>
    <row r="2001" spans="5:5" ht="22">
      <c r="E2001" s="2"/>
    </row>
    <row r="2002" spans="5:5" ht="22">
      <c r="E2002" s="2"/>
    </row>
  </sheetData>
  <phoneticPr fontId="2"/>
  <pageMargins left="0.7" right="0.7" top="0.75" bottom="0.75" header="0.3" footer="0.3"/>
  <pageSetup paperSize="9" scale="10" firstPageNumber="0" fitToWidth="0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AB6F-2C6C-4502-A833-8CD02A23BE6B}">
  <sheetPr codeName="Sheet5"/>
  <dimension ref="A1"/>
  <sheetViews>
    <sheetView workbookViewId="0"/>
  </sheetViews>
  <sheetFormatPr baseColWidth="10" defaultColWidth="8.7109375" defaultRowHeight="20"/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550FC-497B-4FC3-8E47-6F3E3419C3A7}">
  <sheetPr codeName="Sheet6"/>
  <dimension ref="A1:T22"/>
  <sheetViews>
    <sheetView workbookViewId="0">
      <selection activeCell="R1" sqref="R1:T22"/>
    </sheetView>
  </sheetViews>
  <sheetFormatPr baseColWidth="10" defaultColWidth="8.7109375" defaultRowHeight="20"/>
  <sheetData>
    <row r="1" spans="1:20" ht="27">
      <c r="A1" s="6">
        <v>8</v>
      </c>
      <c r="B1" s="1" t="s">
        <v>29</v>
      </c>
      <c r="C1" s="1" t="s">
        <v>30</v>
      </c>
      <c r="G1" s="6">
        <v>8</v>
      </c>
      <c r="H1" s="1" t="s">
        <v>29</v>
      </c>
      <c r="I1" s="1" t="s">
        <v>30</v>
      </c>
      <c r="L1" s="6">
        <v>8</v>
      </c>
      <c r="M1" s="1" t="s">
        <v>29</v>
      </c>
      <c r="N1" s="1" t="s">
        <v>30</v>
      </c>
      <c r="R1" s="6">
        <v>56</v>
      </c>
      <c r="S1" s="1" t="s">
        <v>146</v>
      </c>
      <c r="T1" s="1" t="s">
        <v>147</v>
      </c>
    </row>
    <row r="2" spans="1:20" ht="27">
      <c r="A2" s="6">
        <v>154</v>
      </c>
      <c r="B2" s="1" t="s">
        <v>338</v>
      </c>
      <c r="C2" s="1" t="s">
        <v>339</v>
      </c>
      <c r="G2" s="6">
        <v>154</v>
      </c>
      <c r="H2" s="1" t="s">
        <v>338</v>
      </c>
      <c r="I2" s="1" t="s">
        <v>339</v>
      </c>
      <c r="L2" s="6">
        <v>154</v>
      </c>
      <c r="M2" s="1" t="s">
        <v>338</v>
      </c>
      <c r="N2" s="1" t="s">
        <v>339</v>
      </c>
      <c r="R2" s="6">
        <v>104</v>
      </c>
      <c r="S2" s="1" t="s">
        <v>239</v>
      </c>
      <c r="T2" s="1" t="s">
        <v>240</v>
      </c>
    </row>
    <row r="3" spans="1:20" ht="27">
      <c r="A3" s="6">
        <v>197</v>
      </c>
      <c r="B3" s="1" t="s">
        <v>422</v>
      </c>
      <c r="C3" s="1" t="s">
        <v>423</v>
      </c>
      <c r="G3" s="6">
        <v>197</v>
      </c>
      <c r="H3" s="1" t="s">
        <v>422</v>
      </c>
      <c r="I3" s="1" t="s">
        <v>423</v>
      </c>
      <c r="L3" s="6">
        <v>197</v>
      </c>
      <c r="M3" s="1" t="s">
        <v>422</v>
      </c>
      <c r="N3" s="1" t="s">
        <v>423</v>
      </c>
      <c r="R3" s="6">
        <v>131</v>
      </c>
      <c r="S3" s="1" t="s">
        <v>292</v>
      </c>
      <c r="T3" s="1" t="s">
        <v>293</v>
      </c>
    </row>
    <row r="4" spans="1:20" ht="27">
      <c r="A4" s="6">
        <v>56</v>
      </c>
      <c r="B4" s="1" t="s">
        <v>146</v>
      </c>
      <c r="C4" s="1" t="s">
        <v>147</v>
      </c>
      <c r="G4" s="6">
        <v>56</v>
      </c>
      <c r="H4" s="1" t="s">
        <v>146</v>
      </c>
      <c r="I4" s="1" t="s">
        <v>147</v>
      </c>
      <c r="L4" s="6">
        <v>56</v>
      </c>
      <c r="M4" s="1" t="s">
        <v>146</v>
      </c>
      <c r="N4" s="1" t="s">
        <v>147</v>
      </c>
      <c r="R4" s="6">
        <v>77</v>
      </c>
      <c r="S4" s="1" t="s">
        <v>186</v>
      </c>
      <c r="T4" s="1" t="s">
        <v>187</v>
      </c>
    </row>
    <row r="5" spans="1:20" ht="27">
      <c r="A5" s="6">
        <v>104</v>
      </c>
      <c r="B5" s="1" t="s">
        <v>239</v>
      </c>
      <c r="C5" s="1" t="s">
        <v>240</v>
      </c>
      <c r="G5" s="6">
        <v>104</v>
      </c>
      <c r="H5" s="1" t="s">
        <v>239</v>
      </c>
      <c r="I5" s="1" t="s">
        <v>240</v>
      </c>
      <c r="L5" s="6">
        <v>104</v>
      </c>
      <c r="M5" s="1" t="s">
        <v>239</v>
      </c>
      <c r="N5" s="1" t="s">
        <v>240</v>
      </c>
      <c r="R5" s="6">
        <v>134</v>
      </c>
      <c r="S5" s="1" t="s">
        <v>298</v>
      </c>
      <c r="T5" s="1" t="s">
        <v>299</v>
      </c>
    </row>
    <row r="6" spans="1:20" ht="27">
      <c r="A6" s="6">
        <v>131</v>
      </c>
      <c r="B6" s="1" t="s">
        <v>292</v>
      </c>
      <c r="C6" s="1" t="s">
        <v>293</v>
      </c>
      <c r="G6" s="6">
        <v>131</v>
      </c>
      <c r="H6" s="1" t="s">
        <v>292</v>
      </c>
      <c r="I6" s="1" t="s">
        <v>293</v>
      </c>
      <c r="L6" s="6">
        <v>131</v>
      </c>
      <c r="M6" s="1" t="s">
        <v>292</v>
      </c>
      <c r="N6" s="1" t="s">
        <v>293</v>
      </c>
      <c r="R6" s="6">
        <v>154</v>
      </c>
      <c r="S6" s="1" t="s">
        <v>338</v>
      </c>
      <c r="T6" s="1" t="s">
        <v>339</v>
      </c>
    </row>
    <row r="7" spans="1:20" ht="27">
      <c r="A7" s="6">
        <v>77</v>
      </c>
      <c r="B7" s="1" t="s">
        <v>186</v>
      </c>
      <c r="C7" s="1" t="s">
        <v>187</v>
      </c>
      <c r="G7" s="6">
        <v>77</v>
      </c>
      <c r="H7" s="1" t="s">
        <v>186</v>
      </c>
      <c r="I7" s="1" t="s">
        <v>187</v>
      </c>
      <c r="L7" s="6">
        <v>77</v>
      </c>
      <c r="M7" s="1" t="s">
        <v>186</v>
      </c>
      <c r="N7" s="1" t="s">
        <v>187</v>
      </c>
      <c r="R7" s="6">
        <v>15</v>
      </c>
      <c r="S7" s="1" t="s">
        <v>51</v>
      </c>
      <c r="T7" s="1" t="s">
        <v>52</v>
      </c>
    </row>
    <row r="8" spans="1:20" ht="27">
      <c r="A8" s="6">
        <v>134</v>
      </c>
      <c r="B8" s="1" t="s">
        <v>298</v>
      </c>
      <c r="C8" s="1" t="s">
        <v>299</v>
      </c>
      <c r="G8" s="6">
        <v>134</v>
      </c>
      <c r="H8" s="1" t="s">
        <v>298</v>
      </c>
      <c r="I8" s="1" t="s">
        <v>299</v>
      </c>
      <c r="L8" s="6">
        <v>134</v>
      </c>
      <c r="M8" s="1" t="s">
        <v>298</v>
      </c>
      <c r="N8" s="1" t="s">
        <v>299</v>
      </c>
      <c r="R8" s="6">
        <v>85</v>
      </c>
      <c r="S8" s="1" t="s">
        <v>202</v>
      </c>
      <c r="T8" s="1" t="s">
        <v>203</v>
      </c>
    </row>
    <row r="9" spans="1:20" ht="27">
      <c r="A9" s="6">
        <v>154</v>
      </c>
      <c r="B9" s="1" t="s">
        <v>338</v>
      </c>
      <c r="C9" s="1" t="s">
        <v>339</v>
      </c>
      <c r="G9" s="6">
        <v>154</v>
      </c>
      <c r="H9" s="1" t="s">
        <v>338</v>
      </c>
      <c r="I9" s="1" t="s">
        <v>339</v>
      </c>
      <c r="L9" s="6">
        <v>154</v>
      </c>
      <c r="M9" s="1" t="s">
        <v>338</v>
      </c>
      <c r="N9" s="1" t="s">
        <v>339</v>
      </c>
      <c r="R9" s="6">
        <v>99</v>
      </c>
      <c r="S9" s="1" t="s">
        <v>229</v>
      </c>
      <c r="T9" s="1" t="s">
        <v>230</v>
      </c>
    </row>
    <row r="10" spans="1:20" ht="27">
      <c r="A10" s="6">
        <v>15</v>
      </c>
      <c r="B10" s="1" t="s">
        <v>51</v>
      </c>
      <c r="C10" s="1" t="s">
        <v>52</v>
      </c>
      <c r="G10" s="6">
        <v>15</v>
      </c>
      <c r="H10" s="1" t="s">
        <v>51</v>
      </c>
      <c r="I10" s="1" t="s">
        <v>52</v>
      </c>
      <c r="L10" s="6">
        <v>15</v>
      </c>
      <c r="M10" s="1" t="s">
        <v>51</v>
      </c>
      <c r="N10" s="1" t="s">
        <v>52</v>
      </c>
      <c r="R10" s="6">
        <v>133</v>
      </c>
      <c r="S10" s="1" t="s">
        <v>296</v>
      </c>
      <c r="T10" s="1" t="s">
        <v>297</v>
      </c>
    </row>
    <row r="11" spans="1:20" ht="27">
      <c r="A11" s="6">
        <v>85</v>
      </c>
      <c r="B11" s="1" t="s">
        <v>202</v>
      </c>
      <c r="C11" s="1" t="s">
        <v>203</v>
      </c>
      <c r="G11" s="6">
        <v>85</v>
      </c>
      <c r="H11" s="1" t="s">
        <v>202</v>
      </c>
      <c r="I11" s="1" t="s">
        <v>203</v>
      </c>
      <c r="L11" s="6">
        <v>85</v>
      </c>
      <c r="M11" s="1" t="s">
        <v>202</v>
      </c>
      <c r="N11" s="1" t="s">
        <v>203</v>
      </c>
      <c r="R11" s="6">
        <v>151</v>
      </c>
      <c r="S11" s="1" t="s">
        <v>332</v>
      </c>
      <c r="T11" s="1" t="s">
        <v>333</v>
      </c>
    </row>
    <row r="12" spans="1:20" ht="27">
      <c r="A12" s="6">
        <v>99</v>
      </c>
      <c r="B12" s="1" t="s">
        <v>229</v>
      </c>
      <c r="C12" s="1" t="s">
        <v>230</v>
      </c>
      <c r="G12" s="6">
        <v>99</v>
      </c>
      <c r="H12" s="1" t="s">
        <v>229</v>
      </c>
      <c r="I12" s="1" t="s">
        <v>230</v>
      </c>
      <c r="L12" s="6">
        <v>99</v>
      </c>
      <c r="M12" s="1" t="s">
        <v>229</v>
      </c>
      <c r="N12" s="1" t="s">
        <v>230</v>
      </c>
      <c r="R12" s="6">
        <v>165</v>
      </c>
      <c r="S12" s="1" t="s">
        <v>360</v>
      </c>
      <c r="T12" s="1" t="s">
        <v>361</v>
      </c>
    </row>
    <row r="13" spans="1:20" ht="27">
      <c r="A13" s="6">
        <v>133</v>
      </c>
      <c r="B13" s="1" t="s">
        <v>296</v>
      </c>
      <c r="C13" s="1" t="s">
        <v>297</v>
      </c>
      <c r="G13" s="6">
        <v>133</v>
      </c>
      <c r="H13" s="1" t="s">
        <v>296</v>
      </c>
      <c r="I13" s="1" t="s">
        <v>297</v>
      </c>
      <c r="L13" s="6">
        <v>133</v>
      </c>
      <c r="M13" s="1" t="s">
        <v>296</v>
      </c>
      <c r="N13" s="1" t="s">
        <v>297</v>
      </c>
      <c r="R13" s="6">
        <v>83</v>
      </c>
      <c r="S13" s="1" t="s">
        <v>198</v>
      </c>
      <c r="T13" s="1" t="s">
        <v>199</v>
      </c>
    </row>
    <row r="14" spans="1:20" ht="27">
      <c r="A14" s="6">
        <v>151</v>
      </c>
      <c r="B14" s="1" t="s">
        <v>332</v>
      </c>
      <c r="C14" s="1" t="s">
        <v>333</v>
      </c>
      <c r="G14" s="6">
        <v>151</v>
      </c>
      <c r="H14" s="1" t="s">
        <v>332</v>
      </c>
      <c r="I14" s="1" t="s">
        <v>333</v>
      </c>
      <c r="L14" s="6">
        <v>151</v>
      </c>
      <c r="M14" s="1" t="s">
        <v>332</v>
      </c>
      <c r="N14" s="1" t="s">
        <v>333</v>
      </c>
      <c r="R14" s="6">
        <v>173</v>
      </c>
      <c r="S14" s="1" t="s">
        <v>375</v>
      </c>
      <c r="T14" s="1" t="s">
        <v>248</v>
      </c>
    </row>
    <row r="15" spans="1:20" ht="27">
      <c r="A15" s="6">
        <v>165</v>
      </c>
      <c r="B15" s="1" t="s">
        <v>360</v>
      </c>
      <c r="C15" s="1" t="s">
        <v>361</v>
      </c>
      <c r="G15" s="6">
        <v>165</v>
      </c>
      <c r="H15" s="1" t="s">
        <v>360</v>
      </c>
      <c r="I15" s="1" t="s">
        <v>361</v>
      </c>
      <c r="L15" s="6">
        <v>165</v>
      </c>
      <c r="M15" s="1" t="s">
        <v>360</v>
      </c>
      <c r="N15" s="1" t="s">
        <v>361</v>
      </c>
      <c r="R15" s="6">
        <v>200</v>
      </c>
      <c r="S15" s="1" t="s">
        <v>428</v>
      </c>
      <c r="T15" s="1" t="s">
        <v>429</v>
      </c>
    </row>
    <row r="16" spans="1:20" ht="27">
      <c r="A16" s="6">
        <v>83</v>
      </c>
      <c r="B16" s="1" t="s">
        <v>198</v>
      </c>
      <c r="C16" s="1" t="s">
        <v>199</v>
      </c>
      <c r="G16" s="6">
        <v>83</v>
      </c>
      <c r="H16" s="1" t="s">
        <v>198</v>
      </c>
      <c r="I16" s="1" t="s">
        <v>199</v>
      </c>
      <c r="L16" s="6">
        <v>83</v>
      </c>
      <c r="M16" s="1" t="s">
        <v>198</v>
      </c>
      <c r="N16" s="1" t="s">
        <v>199</v>
      </c>
      <c r="R16" s="6">
        <v>11</v>
      </c>
      <c r="S16" s="1" t="s">
        <v>38</v>
      </c>
      <c r="T16" s="1" t="s">
        <v>39</v>
      </c>
    </row>
    <row r="17" spans="1:20" ht="27">
      <c r="A17" s="6">
        <v>173</v>
      </c>
      <c r="B17" s="1" t="s">
        <v>375</v>
      </c>
      <c r="C17" s="1" t="s">
        <v>248</v>
      </c>
      <c r="G17" s="6">
        <v>173</v>
      </c>
      <c r="H17" s="1" t="s">
        <v>375</v>
      </c>
      <c r="I17" s="1" t="s">
        <v>248</v>
      </c>
      <c r="L17" s="6">
        <v>173</v>
      </c>
      <c r="M17" s="1" t="s">
        <v>375</v>
      </c>
      <c r="N17" s="1" t="s">
        <v>248</v>
      </c>
      <c r="R17" s="6">
        <v>72</v>
      </c>
      <c r="S17" s="1" t="s">
        <v>176</v>
      </c>
      <c r="T17" s="1" t="s">
        <v>177</v>
      </c>
    </row>
    <row r="18" spans="1:20" ht="27">
      <c r="A18" s="6">
        <v>200</v>
      </c>
      <c r="B18" s="1" t="s">
        <v>428</v>
      </c>
      <c r="C18" s="1" t="s">
        <v>429</v>
      </c>
      <c r="G18" s="6">
        <v>200</v>
      </c>
      <c r="H18" s="1" t="s">
        <v>428</v>
      </c>
      <c r="I18" s="1" t="s">
        <v>429</v>
      </c>
      <c r="L18" s="6">
        <v>200</v>
      </c>
      <c r="M18" s="1" t="s">
        <v>428</v>
      </c>
      <c r="N18" s="1" t="s">
        <v>429</v>
      </c>
      <c r="R18" s="6">
        <v>137</v>
      </c>
      <c r="S18" s="1" t="s">
        <v>304</v>
      </c>
      <c r="T18" s="1" t="s">
        <v>305</v>
      </c>
    </row>
    <row r="19" spans="1:20" ht="27">
      <c r="G19" s="6">
        <v>83</v>
      </c>
      <c r="H19" s="1" t="s">
        <v>198</v>
      </c>
      <c r="I19" s="1" t="s">
        <v>199</v>
      </c>
      <c r="L19" s="6">
        <v>11</v>
      </c>
      <c r="M19" s="1" t="s">
        <v>38</v>
      </c>
      <c r="N19" s="1" t="s">
        <v>39</v>
      </c>
      <c r="R19" s="6">
        <v>3</v>
      </c>
      <c r="S19" s="1" t="s">
        <v>12</v>
      </c>
      <c r="T19" s="1" t="s">
        <v>13</v>
      </c>
    </row>
    <row r="20" spans="1:20" ht="27">
      <c r="G20" s="6">
        <v>173</v>
      </c>
      <c r="H20" s="1" t="s">
        <v>375</v>
      </c>
      <c r="I20" s="1" t="s">
        <v>248</v>
      </c>
      <c r="L20" s="6">
        <v>72</v>
      </c>
      <c r="M20" s="1" t="s">
        <v>176</v>
      </c>
      <c r="N20" s="1" t="s">
        <v>177</v>
      </c>
      <c r="R20" s="6">
        <v>11</v>
      </c>
      <c r="S20" s="1" t="s">
        <v>38</v>
      </c>
      <c r="T20" s="1" t="s">
        <v>39</v>
      </c>
    </row>
    <row r="21" spans="1:20" ht="27">
      <c r="G21" s="6">
        <v>200</v>
      </c>
      <c r="H21" s="1" t="s">
        <v>428</v>
      </c>
      <c r="I21" s="1" t="s">
        <v>429</v>
      </c>
      <c r="L21" s="6">
        <v>137</v>
      </c>
      <c r="M21" s="1" t="s">
        <v>304</v>
      </c>
      <c r="N21" s="1" t="s">
        <v>305</v>
      </c>
      <c r="R21" s="6">
        <v>72</v>
      </c>
      <c r="S21" s="1" t="s">
        <v>176</v>
      </c>
      <c r="T21" s="1" t="s">
        <v>177</v>
      </c>
    </row>
    <row r="22" spans="1:20" ht="27">
      <c r="R22" s="6">
        <v>137</v>
      </c>
      <c r="S22" s="1" t="s">
        <v>304</v>
      </c>
      <c r="T22" s="1" t="s">
        <v>305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コンソール</vt:lpstr>
      <vt:lpstr>出力用シート</vt:lpstr>
      <vt:lpstr>間違え</vt:lpstr>
      <vt:lpstr>Sheet2</vt:lpstr>
      <vt:lpstr>出力用シート!Print_Area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河合　新</cp:lastModifiedBy>
  <cp:revision/>
  <dcterms:created xsi:type="dcterms:W3CDTF">2021-06-08T15:26:54Z</dcterms:created>
  <dcterms:modified xsi:type="dcterms:W3CDTF">2023-12-08T02:43:08Z</dcterms:modified>
  <cp:category/>
  <cp:contentStatus/>
</cp:coreProperties>
</file>